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b.sharepoint.com/sites/FacIR-AVRG-OWI-lab/Gedeelde documenten/Smartlife (FOD165)/Meetings/"/>
    </mc:Choice>
  </mc:AlternateContent>
  <xr:revisionPtr revIDLastSave="0" documentId="8_{A6B175D3-1234-4E22-9F42-46A1AA6C6F25}" xr6:coauthVersionLast="47" xr6:coauthVersionMax="47" xr10:uidLastSave="{00000000-0000-0000-0000-000000000000}"/>
  <bookViews>
    <workbookView xWindow="-28920" yWindow="-120" windowWidth="29040" windowHeight="15720" firstSheet="4" activeTab="4" xr2:uid="{00000000-000D-0000-FFFF-FFFF00000000}"/>
  </bookViews>
  <sheets>
    <sheet name="Design clusters - fleetleaders" sheetId="1" r:id="rId1"/>
    <sheet name="Results" sheetId="2" r:id="rId2"/>
    <sheet name="Lifetime-Wind overview" sheetId="3" r:id="rId3"/>
    <sheet name="Lifetime - Wind Histogram" sheetId="4" r:id="rId4"/>
    <sheet name="Lifetime -  Design verification" sheetId="5" r:id="rId5"/>
    <sheet name="Lifetime -  Design frequencies" sheetId="7" r:id="rId6"/>
    <sheet name="Results - referenc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4" l="1"/>
  <c r="AZ2" i="4"/>
  <c r="BA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D2" i="4"/>
</calcChain>
</file>

<file path=xl/sharedStrings.xml><?xml version="1.0" encoding="utf-8"?>
<sst xmlns="http://schemas.openxmlformats.org/spreadsheetml/2006/main" count="669" uniqueCount="217">
  <si>
    <t>Site</t>
  </si>
  <si>
    <t>Asset</t>
  </si>
  <si>
    <t>Design cluster</t>
  </si>
  <si>
    <t>Fleetleader?</t>
  </si>
  <si>
    <t>Short description/name</t>
  </si>
  <si>
    <t>Description</t>
  </si>
  <si>
    <t>data</t>
  </si>
  <si>
    <t>Additional data (JSON)</t>
  </si>
  <si>
    <t>Links</t>
  </si>
  <si>
    <t>data_1</t>
  </si>
  <si>
    <t>data_2</t>
  </si>
  <si>
    <t>data_3</t>
  </si>
  <si>
    <t>Analysis</t>
  </si>
  <si>
    <t>Location</t>
  </si>
  <si>
    <t>Related object</t>
  </si>
  <si>
    <t>name</t>
  </si>
  <si>
    <t>units</t>
  </si>
  <si>
    <t>data (float)</t>
  </si>
  <si>
    <t>Lifetime - Wind Overview</t>
  </si>
  <si>
    <t>Design</t>
  </si>
  <si>
    <t>As-designed windspeed distribution as specified in XX</t>
  </si>
  <si>
    <t>WTG1 - Y1</t>
  </si>
  <si>
    <t>As measured distribution for location WTG1 - Y1</t>
  </si>
  <si>
    <t>WTG1</t>
  </si>
  <si>
    <t>WTG2 - Y1</t>
  </si>
  <si>
    <t>As measured distribution for location WTG2 - Y1</t>
  </si>
  <si>
    <t>WTG2</t>
  </si>
  <si>
    <t>Lifetime - Design frequencies</t>
  </si>
  <si>
    <t>INFL</t>
  </si>
  <si>
    <t>BBA01</t>
  </si>
  <si>
    <t>Title</t>
  </si>
  <si>
    <t>Scope</t>
  </si>
  <si>
    <t>u_avg</t>
  </si>
  <si>
    <t>distribution</t>
  </si>
  <si>
    <t>Parameter 1</t>
  </si>
  <si>
    <t>Parameter 2</t>
  </si>
  <si>
    <t>Parameter 3</t>
  </si>
  <si>
    <t>wbl</t>
  </si>
  <si>
    <t>n/A</t>
  </si>
  <si>
    <t>Turbine</t>
  </si>
  <si>
    <t>Reference</t>
  </si>
  <si>
    <t>FA1 [Hz]</t>
  </si>
  <si>
    <t>SS1 [Hz]</t>
  </si>
  <si>
    <t>FA2 [Hz]</t>
  </si>
  <si>
    <t>SS2 [Hz]</t>
  </si>
  <si>
    <t>ACTU</t>
  </si>
  <si>
    <t>FLEX</t>
  </si>
  <si>
    <t>Wind speed histogram [m/s]</t>
  </si>
  <si>
    <t>WTG1 - Y2</t>
  </si>
  <si>
    <t>WTG2 - Y2</t>
  </si>
  <si>
    <t>timestamp</t>
  </si>
  <si>
    <t>FA1 (Hz)</t>
  </si>
  <si>
    <t>SS1 (Hz)</t>
  </si>
  <si>
    <t>SS2 (Hz)</t>
  </si>
  <si>
    <t>FA2 (Hz)</t>
  </si>
  <si>
    <t>2023-03-20 07:41:00+00:00</t>
  </si>
  <si>
    <t>2019-03-26 14:02:00+00:00</t>
  </si>
  <si>
    <t>2019-03-26 14:52:00+00:00</t>
  </si>
  <si>
    <t>BBA02</t>
  </si>
  <si>
    <t>2024-03-18 10:19:00+00:00</t>
  </si>
  <si>
    <t>BBA03</t>
  </si>
  <si>
    <t>2019-03-26 15:41:00+00:00</t>
  </si>
  <si>
    <t>2025-03-20 14:16:00+00:00</t>
  </si>
  <si>
    <t>2022-03-15 12:48:00+00:00</t>
  </si>
  <si>
    <t>BBA04</t>
  </si>
  <si>
    <t>2019-03-26 16:38:00+00:00</t>
  </si>
  <si>
    <t>2024-03-18 12:21:00+00:00</t>
  </si>
  <si>
    <t>BBA05</t>
  </si>
  <si>
    <t>2019-03-27 07:41:00+00:00</t>
  </si>
  <si>
    <t>2024-03-18 13:09:00+00:00</t>
  </si>
  <si>
    <t>BBA06</t>
  </si>
  <si>
    <t>2019-03-27 08:36:00+00:00</t>
  </si>
  <si>
    <t>2019-03-27 09:31:00+00:00</t>
  </si>
  <si>
    <t>BBA07</t>
  </si>
  <si>
    <t>2019-03-27 10:36:20+00:00</t>
  </si>
  <si>
    <t>BBA08</t>
  </si>
  <si>
    <t>2025-03-04 07:52:00+00:00</t>
  </si>
  <si>
    <t>2025-03-04 08:46:00+00:00</t>
  </si>
  <si>
    <t>BBA09</t>
  </si>
  <si>
    <t>2019-03-27 12:00:40+00:00</t>
  </si>
  <si>
    <t>2019-03-27 12:55:00+00:00</t>
  </si>
  <si>
    <t>BBA10</t>
  </si>
  <si>
    <t>2021-03-24 08:29:00+00:00</t>
  </si>
  <si>
    <t>BBB01</t>
  </si>
  <si>
    <t>2021-03-24 09:35:00+00:00</t>
  </si>
  <si>
    <t>BBB02</t>
  </si>
  <si>
    <t>2022-03-15 08:58:00+00:00</t>
  </si>
  <si>
    <t>BBB03</t>
  </si>
  <si>
    <t>2021-03-24 10:59:00+00:00</t>
  </si>
  <si>
    <t>BBB04</t>
  </si>
  <si>
    <t>2021-03-24 12:51:00+00:00</t>
  </si>
  <si>
    <t>BBB05</t>
  </si>
  <si>
    <t>2025-03-04 10:33:00+00:00</t>
  </si>
  <si>
    <t>BBB06</t>
  </si>
  <si>
    <t>2020-09-16 06:57:00+00:00</t>
  </si>
  <si>
    <t>2020-09-16 07:55:00+00:00</t>
  </si>
  <si>
    <t>BBB07</t>
  </si>
  <si>
    <t>2025-03-04 09:45:00+00:00</t>
  </si>
  <si>
    <t>2022-03-22 12:06:00+00:00</t>
  </si>
  <si>
    <t>BBB08</t>
  </si>
  <si>
    <t>2018-10-04 09:07:00+00:00</t>
  </si>
  <si>
    <t>2023-03-29 06:16:00+00:00</t>
  </si>
  <si>
    <t>BBB09</t>
  </si>
  <si>
    <t>2018-10-04 10:16:40+00:00</t>
  </si>
  <si>
    <t>2019-03-27 13:54:00+00:00</t>
  </si>
  <si>
    <t>BBB10</t>
  </si>
  <si>
    <t>2024-03-14 08:00:00+00:00</t>
  </si>
  <si>
    <t>2020-09-16 09:29:00+00:00</t>
  </si>
  <si>
    <t>BBC01</t>
  </si>
  <si>
    <t>2020-09-16 11:16:00+00:00</t>
  </si>
  <si>
    <t>BBC02</t>
  </si>
  <si>
    <t>2024-03-14 12:27:00+00:00</t>
  </si>
  <si>
    <t>2020-09-16 12:52:00+00:00</t>
  </si>
  <si>
    <t>BBC03</t>
  </si>
  <si>
    <t>2020-09-16 13:52:00+00:00</t>
  </si>
  <si>
    <t>BBC04</t>
  </si>
  <si>
    <t>2025-03-04 12:15:00+00:00</t>
  </si>
  <si>
    <t>BBC05</t>
  </si>
  <si>
    <t>2020-09-21 07:34:00+00:00</t>
  </si>
  <si>
    <t>2025-03-04 13:06:00+00:00</t>
  </si>
  <si>
    <t>BBC06</t>
  </si>
  <si>
    <t>2020-09-21 08:33:00+00:00</t>
  </si>
  <si>
    <t>2020-09-21 09:49:00+00:00</t>
  </si>
  <si>
    <t>BBC07</t>
  </si>
  <si>
    <t>2020-09-21 11:40:00+00:00</t>
  </si>
  <si>
    <t>BBC08</t>
  </si>
  <si>
    <t>2020-09-21 12:39:00+00:00</t>
  </si>
  <si>
    <t>BBC09</t>
  </si>
  <si>
    <t>2018-10-04 11:15:00+00:00</t>
  </si>
  <si>
    <t>2022-03-24 13:07:00+00:00</t>
  </si>
  <si>
    <t>BBC10</t>
  </si>
  <si>
    <t>2019-03-27 14:47:00+00:00</t>
  </si>
  <si>
    <t>2023-03-29 12:09:00+00:00</t>
  </si>
  <si>
    <t>BBD01</t>
  </si>
  <si>
    <t>2018-11-22 14:48:20+00:00</t>
  </si>
  <si>
    <t>2022-03-25 14:22:00+00:00</t>
  </si>
  <si>
    <t>2023-03-29 11:11:00+00:00</t>
  </si>
  <si>
    <t>BBD02</t>
  </si>
  <si>
    <t>2018-11-22 13:45:00+00:00</t>
  </si>
  <si>
    <t>2018-11-22 12:45:00+00:00</t>
  </si>
  <si>
    <t>BBD03</t>
  </si>
  <si>
    <t>2024-03-14 10:55:00+00:00</t>
  </si>
  <si>
    <t>2025-03-20 12:03:00+00:00</t>
  </si>
  <si>
    <t>2024-04-08 10:47:00+00:00</t>
  </si>
  <si>
    <t>2023-03-29 09:33:00+00:00</t>
  </si>
  <si>
    <t>BBD04</t>
  </si>
  <si>
    <t>2018-11-22 11:26:00+00:00</t>
  </si>
  <si>
    <t>2018-11-22 10:13:20+00:00</t>
  </si>
  <si>
    <t>BBD05</t>
  </si>
  <si>
    <t>2024-03-14 09:45:00+00:00</t>
  </si>
  <si>
    <t>2021-04-14 09:40:00+00:00</t>
  </si>
  <si>
    <t>BBD06</t>
  </si>
  <si>
    <t>2025-03-04 13:56:00+00:00</t>
  </si>
  <si>
    <t>2021-04-14 08:49:00+00:00</t>
  </si>
  <si>
    <t>BBD07</t>
  </si>
  <si>
    <t>2023-03-29 07:55:00+00:00</t>
  </si>
  <si>
    <t>BBD08</t>
  </si>
  <si>
    <t>2014-11-05 11:20:00+00:00</t>
  </si>
  <si>
    <t>2018-10-04 08:16:40+00:00</t>
  </si>
  <si>
    <t>2014-11-05 10:20:00+00:00</t>
  </si>
  <si>
    <t>BBD09</t>
  </si>
  <si>
    <t>2023-03-29 07:10:00+00:00</t>
  </si>
  <si>
    <t>2018-10-04 12:00:00+00:00</t>
  </si>
  <si>
    <t>2025-03-20 13:17:00+00:00</t>
  </si>
  <si>
    <t>BBD10</t>
  </si>
  <si>
    <t>2014-11-05 09:10:00+00:00</t>
  </si>
  <si>
    <t>2018-10-04 13:55:00+00:00</t>
  </si>
  <si>
    <t>2025-03-20 10:41:00+00:00</t>
  </si>
  <si>
    <t>BBE01</t>
  </si>
  <si>
    <t>2020-09-21 13:52:00+00:00</t>
  </si>
  <si>
    <t>2022-03-25 13:12:00+00:00</t>
  </si>
  <si>
    <t>BBE02</t>
  </si>
  <si>
    <t>2022-03-25 12:18:00+00:00</t>
  </si>
  <si>
    <t>BBE03</t>
  </si>
  <si>
    <t>2021-04-14 13:10:00+00:00</t>
  </si>
  <si>
    <t>2022-03-25 10:22:00+00:00</t>
  </si>
  <si>
    <t>BBE04</t>
  </si>
  <si>
    <t>2021-04-16 12:49:00+00:00</t>
  </si>
  <si>
    <t>2021-04-16 13:47:00+00:00</t>
  </si>
  <si>
    <t>BBE05</t>
  </si>
  <si>
    <t>2021-04-16 14:40:00+00:00</t>
  </si>
  <si>
    <t>BBE06</t>
  </si>
  <si>
    <t>2022-03-25 08:13:00+00:00</t>
  </si>
  <si>
    <t>BBE07</t>
  </si>
  <si>
    <t>2018-10-04 07:20:00+00:00</t>
  </si>
  <si>
    <t>BBE08</t>
  </si>
  <si>
    <t>2023-03-29 08:43:00+00:00</t>
  </si>
  <si>
    <t>2018-10-04 13:02:30+00:00</t>
  </si>
  <si>
    <t>BBE09</t>
  </si>
  <si>
    <t>2023-03-03 14:40:00+00:00</t>
  </si>
  <si>
    <t>2019-03-27 15:37:00+00:00</t>
  </si>
  <si>
    <t>BBE10</t>
  </si>
  <si>
    <t>2024-03-14 08:53:00+00:00</t>
  </si>
  <si>
    <t>2019-03-26 12:58:20+00:00</t>
  </si>
  <si>
    <t>BBF01</t>
  </si>
  <si>
    <t>2025-03-21 08:34:00+00:00</t>
  </si>
  <si>
    <t>2022-03-22 14:08:00+00:00</t>
  </si>
  <si>
    <t>2019-03-26 11:36:00+00:00</t>
  </si>
  <si>
    <t>BBF02</t>
  </si>
  <si>
    <t>2024-03-14 14:20:00+00:00</t>
  </si>
  <si>
    <t>2019-03-26 10:29:20+00:00</t>
  </si>
  <si>
    <t>BBF03</t>
  </si>
  <si>
    <t>2023-03-20 08:35:00+00:00</t>
  </si>
  <si>
    <t>2024-03-14 13:34:00+00:00</t>
  </si>
  <si>
    <t>2019-03-26 09:34:00+00:00</t>
  </si>
  <si>
    <t>BBF04</t>
  </si>
  <si>
    <t>2014-11-05 12:20:00+00:00</t>
  </si>
  <si>
    <t>2024-03-18 07:53:00+00:00</t>
  </si>
  <si>
    <t>2019-03-26 08:36:20+00:00</t>
  </si>
  <si>
    <t>BBF05</t>
  </si>
  <si>
    <t>2022-03-24 08:52:00+00:00</t>
  </si>
  <si>
    <t>Template</t>
  </si>
  <si>
    <t>Activates</t>
  </si>
  <si>
    <t>wind_histogram_{$SITE}</t>
  </si>
  <si>
    <t xml:space="preserve">Wind histogram as measured or from design </t>
  </si>
  <si>
    <t>OWI-Metadatabase_required_data.xlsx</t>
  </si>
  <si>
    <t>"Lifetime- Wind Histogram"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</si>
</sst>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2" fillId="0" borderId="6" xfId="0" applyFont="1" applyBorder="1"/>
    <xf numFmtId="0" fontId="3" fillId="0" borderId="0" xfId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8</xdr:row>
      <xdr:rowOff>76200</xdr:rowOff>
    </xdr:from>
    <xdr:to>
      <xdr:col>12</xdr:col>
      <xdr:colOff>381000</xdr:colOff>
      <xdr:row>13</xdr:row>
      <xdr:rowOff>123825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787283C4-642E-25ED-09E6-3234D9B28A0B}"/>
            </a:ext>
          </a:extLst>
        </xdr:cNvPr>
        <xdr:cNvSpPr txBox="1"/>
      </xdr:nvSpPr>
      <xdr:spPr>
        <a:xfrm>
          <a:off x="10258425" y="1533525"/>
          <a:ext cx="1781175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 the future we might have more columns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B6E0B-FD26-4288-A25E-A1B8EB79BA41}" name="Belwind_Design_NaturalFrequencies" displayName="Belwind_Design_NaturalFrequencies" ref="A1:F166" totalsRowShown="0">
  <autoFilter ref="A1:F166" xr:uid="{F62B6E0B-FD26-4288-A25E-A1B8EB79BA41}"/>
  <tableColumns count="6">
    <tableColumn id="1" xr3:uid="{9779BDA1-AC61-49FD-9BEE-5014F847F7DE}" name="Turbine" dataDxfId="1"/>
    <tableColumn id="2" xr3:uid="{982D1D8A-C825-4C98-A373-39E4784B044D}" name="Reference" dataDxfId="0"/>
    <tableColumn id="3" xr3:uid="{17896B86-B7CD-4AFA-ADE0-2D5A13481BD6}" name="FA1 [Hz]"/>
    <tableColumn id="4" xr3:uid="{975976B6-CA53-49AF-AAC4-7EB59B4FA674}" name="SS1 [Hz]"/>
    <tableColumn id="5" xr3:uid="{9FD55272-66BA-4B3D-AFC0-B8B0A7A93D3E}" name="FA2 [Hz]"/>
    <tableColumn id="6" xr3:uid="{1CB9C051-0359-4146-ACF3-3A9377F707C4}" name="SS2 [Hz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vub.sharepoint.com/:x:/r/sites/FacIR-AVRG-OWI-lab/Gedeelde%20documenten/Smartlife%20(FOD165)/Meetings/OWI-Metadatabase_required_data.xlsx?d=w2ec32a5039294ab6bd31aa0623043c42&amp;csf=1&amp;web=1&amp;e=W3pY3G&amp;nav=MTVfe0JDNzc3N0JGLTRDOUItNDMyQy05N0QyLTMzOENCQzg1NjMwRX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D6" sqref="D6"/>
    </sheetView>
  </sheetViews>
  <sheetFormatPr defaultRowHeight="14.45"/>
  <cols>
    <col min="1" max="1" width="16.85546875" customWidth="1"/>
    <col min="2" max="2" width="15.5703125" customWidth="1"/>
    <col min="3" max="3" width="23.28515625" customWidth="1"/>
    <col min="4" max="4" width="21.85546875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ED1F-BAEC-4343-BFBD-765E98B2D7BB}">
  <dimension ref="A1:P23"/>
  <sheetViews>
    <sheetView topLeftCell="D1" workbookViewId="0">
      <selection activeCell="O10" sqref="O10"/>
    </sheetView>
  </sheetViews>
  <sheetFormatPr defaultRowHeight="14.45"/>
  <cols>
    <col min="1" max="1" width="22.28515625" customWidth="1"/>
    <col min="2" max="2" width="15" customWidth="1"/>
    <col min="5" max="5" width="11.5703125" customWidth="1"/>
    <col min="8" max="8" width="13.42578125" customWidth="1"/>
    <col min="11" max="11" width="13.42578125" customWidth="1"/>
    <col min="12" max="12" width="22.42578125" customWidth="1"/>
    <col min="16" max="16" width="15" customWidth="1"/>
  </cols>
  <sheetData>
    <row r="1" spans="1:16" ht="14.45" customHeight="1">
      <c r="A1" s="19" t="s">
        <v>4</v>
      </c>
      <c r="B1" s="19" t="s">
        <v>5</v>
      </c>
      <c r="C1" s="25" t="s">
        <v>6</v>
      </c>
      <c r="D1" s="25"/>
      <c r="E1" s="25"/>
      <c r="F1" s="25"/>
      <c r="G1" s="25"/>
      <c r="H1" s="25"/>
      <c r="I1" s="25"/>
      <c r="J1" s="25"/>
      <c r="K1" s="25"/>
      <c r="L1" s="22" t="s">
        <v>7</v>
      </c>
      <c r="M1" s="16" t="s">
        <v>8</v>
      </c>
      <c r="N1" s="17"/>
      <c r="O1" s="17"/>
      <c r="P1" s="17"/>
    </row>
    <row r="2" spans="1:16" ht="15">
      <c r="A2" s="20"/>
      <c r="B2" s="20"/>
      <c r="C2" s="26" t="s">
        <v>9</v>
      </c>
      <c r="D2" s="25"/>
      <c r="E2" s="25"/>
      <c r="F2" s="25" t="s">
        <v>10</v>
      </c>
      <c r="G2" s="25"/>
      <c r="H2" s="25"/>
      <c r="I2" s="25" t="s">
        <v>11</v>
      </c>
      <c r="J2" s="25"/>
      <c r="K2" s="25"/>
      <c r="L2" s="23"/>
      <c r="M2" s="18" t="s">
        <v>12</v>
      </c>
      <c r="N2" s="18" t="s">
        <v>0</v>
      </c>
      <c r="O2" s="18" t="s">
        <v>13</v>
      </c>
      <c r="P2" s="18" t="s">
        <v>14</v>
      </c>
    </row>
    <row r="3" spans="1:16" ht="14.45" customHeight="1">
      <c r="A3" s="21"/>
      <c r="B3" s="21"/>
      <c r="C3" s="2" t="s">
        <v>15</v>
      </c>
      <c r="D3" s="1" t="s">
        <v>16</v>
      </c>
      <c r="E3" s="1" t="s">
        <v>17</v>
      </c>
      <c r="F3" s="1" t="s">
        <v>15</v>
      </c>
      <c r="G3" s="1" t="s">
        <v>16</v>
      </c>
      <c r="H3" s="1" t="s">
        <v>17</v>
      </c>
      <c r="I3" s="1" t="s">
        <v>15</v>
      </c>
      <c r="J3" s="1" t="s">
        <v>16</v>
      </c>
      <c r="K3" s="1" t="s">
        <v>17</v>
      </c>
      <c r="L3" s="24"/>
      <c r="M3" s="18"/>
      <c r="N3" s="18"/>
      <c r="O3" s="18"/>
      <c r="P3" s="18"/>
    </row>
    <row r="4" spans="1:16" ht="15">
      <c r="A4" s="4" t="s">
        <v>18</v>
      </c>
    </row>
    <row r="5" spans="1:16" ht="15">
      <c r="A5" t="s">
        <v>19</v>
      </c>
      <c r="B5" t="s">
        <v>20</v>
      </c>
      <c r="N5" t="s">
        <v>0</v>
      </c>
    </row>
    <row r="6" spans="1:16">
      <c r="A6" t="s">
        <v>21</v>
      </c>
      <c r="B6" t="s">
        <v>22</v>
      </c>
      <c r="O6" t="s">
        <v>23</v>
      </c>
    </row>
    <row r="7" spans="1:16">
      <c r="A7" t="s">
        <v>24</v>
      </c>
      <c r="B7" t="s">
        <v>25</v>
      </c>
      <c r="O7" t="s">
        <v>26</v>
      </c>
    </row>
    <row r="9" spans="1:16" ht="15">
      <c r="A9" s="4" t="s">
        <v>27</v>
      </c>
    </row>
    <row r="10" spans="1:16" ht="15">
      <c r="A10" s="11" t="s">
        <v>28</v>
      </c>
      <c r="O10" s="10" t="s">
        <v>29</v>
      </c>
    </row>
    <row r="11" spans="1:16" ht="15"/>
    <row r="12" spans="1:16" ht="15"/>
    <row r="13" spans="1:16" ht="15"/>
    <row r="14" spans="1:16" ht="15">
      <c r="A14" s="4" t="s">
        <v>30</v>
      </c>
      <c r="B14" s="4" t="s">
        <v>5</v>
      </c>
      <c r="C14" s="4" t="s">
        <v>31</v>
      </c>
      <c r="D14" s="4" t="s">
        <v>32</v>
      </c>
      <c r="E14" s="4" t="s">
        <v>33</v>
      </c>
      <c r="F14" s="4" t="s">
        <v>34</v>
      </c>
      <c r="G14" s="4" t="s">
        <v>35</v>
      </c>
      <c r="H14" s="4" t="s">
        <v>36</v>
      </c>
    </row>
    <row r="15" spans="1:16" ht="15">
      <c r="A15" t="s">
        <v>19</v>
      </c>
      <c r="B15" t="s">
        <v>20</v>
      </c>
      <c r="C15" t="s">
        <v>0</v>
      </c>
      <c r="D15">
        <v>8.6</v>
      </c>
      <c r="E15" t="s">
        <v>37</v>
      </c>
      <c r="F15">
        <v>2.27</v>
      </c>
      <c r="G15">
        <v>9.7100000000000009</v>
      </c>
      <c r="H15" t="s">
        <v>38</v>
      </c>
    </row>
    <row r="16" spans="1:16" ht="15">
      <c r="A16" t="s">
        <v>21</v>
      </c>
      <c r="B16" t="s">
        <v>22</v>
      </c>
      <c r="C16" t="s">
        <v>23</v>
      </c>
      <c r="D16">
        <v>7.5</v>
      </c>
      <c r="E16" t="s">
        <v>37</v>
      </c>
      <c r="F16">
        <v>2.13</v>
      </c>
      <c r="G16">
        <v>8.48</v>
      </c>
      <c r="H16" t="s">
        <v>38</v>
      </c>
    </row>
    <row r="17" spans="1:8" ht="15">
      <c r="A17" t="s">
        <v>24</v>
      </c>
      <c r="B17" t="s">
        <v>25</v>
      </c>
      <c r="C17" t="s">
        <v>26</v>
      </c>
      <c r="D17">
        <v>7.9</v>
      </c>
      <c r="E17" t="s">
        <v>37</v>
      </c>
      <c r="F17">
        <v>2.16</v>
      </c>
      <c r="G17">
        <v>8.9700000000000006</v>
      </c>
      <c r="H17" t="s">
        <v>38</v>
      </c>
    </row>
    <row r="18" spans="1:8" ht="15"/>
    <row r="19" spans="1:8" ht="15">
      <c r="A19" s="7" t="s">
        <v>39</v>
      </c>
      <c r="B19" s="8" t="s">
        <v>40</v>
      </c>
      <c r="C19" s="8" t="s">
        <v>41</v>
      </c>
      <c r="D19" s="8" t="s">
        <v>42</v>
      </c>
      <c r="E19" s="8" t="s">
        <v>43</v>
      </c>
      <c r="F19" s="9" t="s">
        <v>44</v>
      </c>
    </row>
    <row r="20" spans="1:8" ht="15">
      <c r="A20" s="10" t="s">
        <v>29</v>
      </c>
      <c r="B20" s="11" t="s">
        <v>28</v>
      </c>
      <c r="C20" s="11">
        <v>0.34060000000000001</v>
      </c>
      <c r="D20" s="11">
        <v>0.3407</v>
      </c>
      <c r="E20" s="11">
        <v>1.0172000000000001</v>
      </c>
      <c r="F20" s="12">
        <v>1.0185999999999999</v>
      </c>
    </row>
    <row r="21" spans="1:8" ht="15">
      <c r="A21" s="13" t="s">
        <v>29</v>
      </c>
      <c r="B21" s="14" t="s">
        <v>45</v>
      </c>
      <c r="C21" s="14">
        <v>0.33300000000000002</v>
      </c>
      <c r="D21" s="14">
        <v>0.3332</v>
      </c>
      <c r="E21" s="14">
        <v>0.96189999999999998</v>
      </c>
      <c r="F21" s="15">
        <v>0.96309999999999996</v>
      </c>
    </row>
    <row r="22" spans="1:8" ht="15">
      <c r="A22" s="10" t="s">
        <v>29</v>
      </c>
      <c r="B22" s="11" t="s">
        <v>46</v>
      </c>
      <c r="C22" s="11">
        <v>0.32540000000000002</v>
      </c>
      <c r="D22" s="11">
        <v>0.32550000000000001</v>
      </c>
      <c r="E22" s="11">
        <v>0.90190000000000003</v>
      </c>
      <c r="F22" s="12">
        <v>0.90300000000000002</v>
      </c>
    </row>
    <row r="23" spans="1:8" ht="15"/>
  </sheetData>
  <mergeCells count="12">
    <mergeCell ref="A1:A3"/>
    <mergeCell ref="B1:B3"/>
    <mergeCell ref="L1:L3"/>
    <mergeCell ref="C1:K1"/>
    <mergeCell ref="C2:E2"/>
    <mergeCell ref="F2:H2"/>
    <mergeCell ref="I2:K2"/>
    <mergeCell ref="M1:P1"/>
    <mergeCell ref="M2:M3"/>
    <mergeCell ref="N2:N3"/>
    <mergeCell ref="O2:O3"/>
    <mergeCell ref="P2: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2F5A-EB39-4C35-A14C-C3A6B65D02E9}">
  <dimension ref="A1:H4"/>
  <sheetViews>
    <sheetView workbookViewId="0">
      <selection activeCell="B6" sqref="B6"/>
    </sheetView>
  </sheetViews>
  <sheetFormatPr defaultRowHeight="14.45"/>
  <cols>
    <col min="1" max="1" width="16" customWidth="1"/>
    <col min="2" max="2" width="49.85546875" customWidth="1"/>
    <col min="3" max="4" width="13.7109375" customWidth="1"/>
    <col min="5" max="5" width="12.42578125" customWidth="1"/>
    <col min="6" max="6" width="15.5703125" customWidth="1"/>
    <col min="7" max="7" width="16.28515625" customWidth="1"/>
    <col min="8" max="9" width="19.5703125" customWidth="1"/>
  </cols>
  <sheetData>
    <row r="1" spans="1:8" s="4" customFormat="1">
      <c r="A1" s="4" t="s">
        <v>30</v>
      </c>
      <c r="B1" s="4" t="s">
        <v>5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</row>
    <row r="2" spans="1:8">
      <c r="A2" t="s">
        <v>19</v>
      </c>
      <c r="B2" t="s">
        <v>20</v>
      </c>
      <c r="C2" t="s">
        <v>0</v>
      </c>
      <c r="D2">
        <v>8.6</v>
      </c>
      <c r="E2" t="s">
        <v>37</v>
      </c>
      <c r="F2">
        <v>2.27</v>
      </c>
      <c r="G2">
        <v>9.7100000000000009</v>
      </c>
      <c r="H2" t="s">
        <v>38</v>
      </c>
    </row>
    <row r="3" spans="1:8">
      <c r="A3" t="s">
        <v>21</v>
      </c>
      <c r="B3" t="s">
        <v>22</v>
      </c>
      <c r="C3" t="s">
        <v>23</v>
      </c>
      <c r="D3">
        <v>7.5</v>
      </c>
      <c r="E3" t="s">
        <v>37</v>
      </c>
      <c r="F3">
        <v>2.13</v>
      </c>
      <c r="G3">
        <v>8.48</v>
      </c>
      <c r="H3" t="s">
        <v>38</v>
      </c>
    </row>
    <row r="4" spans="1:8">
      <c r="A4" t="s">
        <v>24</v>
      </c>
      <c r="B4" t="s">
        <v>25</v>
      </c>
      <c r="C4" t="s">
        <v>26</v>
      </c>
      <c r="D4">
        <v>7.9</v>
      </c>
      <c r="E4" t="s">
        <v>37</v>
      </c>
      <c r="F4">
        <v>2.16</v>
      </c>
      <c r="G4">
        <v>8.9700000000000006</v>
      </c>
      <c r="H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77BF-4C9B-432C-97D2-338CBC85630E}">
  <dimension ref="A1:BA7"/>
  <sheetViews>
    <sheetView topLeftCell="Y1" workbookViewId="0">
      <selection activeCell="AS19" sqref="AS19"/>
    </sheetView>
  </sheetViews>
  <sheetFormatPr defaultRowHeight="14.45"/>
  <cols>
    <col min="4" max="12" width="10.28515625" bestFit="1" customWidth="1"/>
    <col min="13" max="26" width="11.28515625" bestFit="1" customWidth="1"/>
  </cols>
  <sheetData>
    <row r="1" spans="1:53" ht="15">
      <c r="D1" s="27" t="s">
        <v>47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</row>
    <row r="2" spans="1:53">
      <c r="A2" s="5" t="s">
        <v>30</v>
      </c>
      <c r="B2" s="5" t="s">
        <v>5</v>
      </c>
      <c r="C2" s="5" t="s">
        <v>31</v>
      </c>
      <c r="D2" s="5" t="str">
        <f xml:space="preserve"> "[" &amp; COLUMN()-4 &amp; "," &amp; COLUMN()-3 &amp; "["</f>
        <v>[0,1[</v>
      </c>
      <c r="E2" s="5" t="str">
        <f t="shared" ref="E2:BA2" si="0" xml:space="preserve"> "[" &amp; COLUMN()-4 &amp; "," &amp; COLUMN()-3 &amp; "["</f>
        <v>[1,2[</v>
      </c>
      <c r="F2" s="5" t="str">
        <f t="shared" si="0"/>
        <v>[2,3[</v>
      </c>
      <c r="G2" s="5" t="str">
        <f t="shared" si="0"/>
        <v>[3,4[</v>
      </c>
      <c r="H2" s="5" t="str">
        <f t="shared" si="0"/>
        <v>[4,5[</v>
      </c>
      <c r="I2" s="5" t="str">
        <f t="shared" si="0"/>
        <v>[5,6[</v>
      </c>
      <c r="J2" s="5" t="str">
        <f t="shared" si="0"/>
        <v>[6,7[</v>
      </c>
      <c r="K2" s="5" t="str">
        <f t="shared" si="0"/>
        <v>[7,8[</v>
      </c>
      <c r="L2" s="5" t="str">
        <f t="shared" si="0"/>
        <v>[8,9[</v>
      </c>
      <c r="M2" s="5" t="str">
        <f t="shared" si="0"/>
        <v>[9,10[</v>
      </c>
      <c r="N2" s="5" t="str">
        <f t="shared" si="0"/>
        <v>[10,11[</v>
      </c>
      <c r="O2" s="5" t="str">
        <f t="shared" si="0"/>
        <v>[11,12[</v>
      </c>
      <c r="P2" s="5" t="str">
        <f t="shared" si="0"/>
        <v>[12,13[</v>
      </c>
      <c r="Q2" s="5" t="str">
        <f t="shared" si="0"/>
        <v>[13,14[</v>
      </c>
      <c r="R2" s="5" t="str">
        <f t="shared" si="0"/>
        <v>[14,15[</v>
      </c>
      <c r="S2" s="5" t="str">
        <f t="shared" si="0"/>
        <v>[15,16[</v>
      </c>
      <c r="T2" s="5" t="str">
        <f t="shared" si="0"/>
        <v>[16,17[</v>
      </c>
      <c r="U2" s="5" t="str">
        <f t="shared" si="0"/>
        <v>[17,18[</v>
      </c>
      <c r="V2" s="5" t="str">
        <f t="shared" si="0"/>
        <v>[18,19[</v>
      </c>
      <c r="W2" s="5" t="str">
        <f t="shared" si="0"/>
        <v>[19,20[</v>
      </c>
      <c r="X2" s="5" t="str">
        <f t="shared" si="0"/>
        <v>[20,21[</v>
      </c>
      <c r="Y2" s="5" t="str">
        <f t="shared" si="0"/>
        <v>[21,22[</v>
      </c>
      <c r="Z2" s="5" t="str">
        <f t="shared" si="0"/>
        <v>[22,23[</v>
      </c>
      <c r="AA2" s="5" t="str">
        <f t="shared" si="0"/>
        <v>[23,24[</v>
      </c>
      <c r="AB2" s="5" t="str">
        <f t="shared" si="0"/>
        <v>[24,25[</v>
      </c>
      <c r="AC2" s="5" t="str">
        <f t="shared" si="0"/>
        <v>[25,26[</v>
      </c>
      <c r="AD2" s="5" t="str">
        <f t="shared" si="0"/>
        <v>[26,27[</v>
      </c>
      <c r="AE2" s="5" t="str">
        <f t="shared" si="0"/>
        <v>[27,28[</v>
      </c>
      <c r="AF2" s="5" t="str">
        <f t="shared" si="0"/>
        <v>[28,29[</v>
      </c>
      <c r="AG2" s="5" t="str">
        <f t="shared" si="0"/>
        <v>[29,30[</v>
      </c>
      <c r="AH2" s="5" t="str">
        <f t="shared" si="0"/>
        <v>[30,31[</v>
      </c>
      <c r="AI2" s="5" t="str">
        <f t="shared" si="0"/>
        <v>[31,32[</v>
      </c>
      <c r="AJ2" s="5" t="str">
        <f t="shared" si="0"/>
        <v>[32,33[</v>
      </c>
      <c r="AK2" s="5" t="str">
        <f t="shared" si="0"/>
        <v>[33,34[</v>
      </c>
      <c r="AL2" s="5" t="str">
        <f t="shared" si="0"/>
        <v>[34,35[</v>
      </c>
      <c r="AM2" s="5" t="str">
        <f t="shared" si="0"/>
        <v>[35,36[</v>
      </c>
      <c r="AN2" s="5" t="str">
        <f t="shared" si="0"/>
        <v>[36,37[</v>
      </c>
      <c r="AO2" s="5" t="str">
        <f t="shared" si="0"/>
        <v>[37,38[</v>
      </c>
      <c r="AP2" s="5" t="str">
        <f t="shared" si="0"/>
        <v>[38,39[</v>
      </c>
      <c r="AQ2" s="5" t="str">
        <f t="shared" si="0"/>
        <v>[39,40[</v>
      </c>
      <c r="AR2" s="5" t="str">
        <f t="shared" si="0"/>
        <v>[40,41[</v>
      </c>
      <c r="AS2" s="5" t="str">
        <f t="shared" si="0"/>
        <v>[41,42[</v>
      </c>
      <c r="AT2" s="5" t="str">
        <f t="shared" si="0"/>
        <v>[42,43[</v>
      </c>
      <c r="AU2" s="5" t="str">
        <f t="shared" si="0"/>
        <v>[43,44[</v>
      </c>
      <c r="AV2" s="5" t="str">
        <f t="shared" si="0"/>
        <v>[44,45[</v>
      </c>
      <c r="AW2" s="5" t="str">
        <f t="shared" si="0"/>
        <v>[45,46[</v>
      </c>
      <c r="AX2" s="5" t="str">
        <f t="shared" si="0"/>
        <v>[46,47[</v>
      </c>
      <c r="AY2" s="5" t="str">
        <f xml:space="preserve"> "[" &amp; COLUMN()-4 &amp; "," &amp; COLUMN()-3 &amp; "["</f>
        <v>[47,48[</v>
      </c>
      <c r="AZ2" s="5" t="str">
        <f t="shared" si="0"/>
        <v>[48,49[</v>
      </c>
      <c r="BA2" s="5" t="str">
        <f t="shared" si="0"/>
        <v>[49,50[</v>
      </c>
    </row>
    <row r="3" spans="1:53">
      <c r="A3" t="s">
        <v>19</v>
      </c>
      <c r="B3" t="s">
        <v>20</v>
      </c>
      <c r="C3" t="s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  <c r="AI3">
        <v>32</v>
      </c>
      <c r="AJ3">
        <v>33</v>
      </c>
      <c r="AK3">
        <v>34</v>
      </c>
      <c r="AL3">
        <v>35</v>
      </c>
      <c r="AM3">
        <v>36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>
      <c r="A4" t="s">
        <v>21</v>
      </c>
      <c r="B4" t="s">
        <v>22</v>
      </c>
      <c r="C4" t="s">
        <v>23</v>
      </c>
      <c r="D4">
        <v>50</v>
      </c>
      <c r="E4">
        <v>49</v>
      </c>
      <c r="F4">
        <v>48</v>
      </c>
      <c r="G4">
        <v>47</v>
      </c>
      <c r="H4">
        <v>46</v>
      </c>
      <c r="I4">
        <v>45</v>
      </c>
      <c r="J4">
        <v>44</v>
      </c>
      <c r="K4">
        <v>43</v>
      </c>
      <c r="L4">
        <v>42</v>
      </c>
      <c r="M4">
        <v>41</v>
      </c>
      <c r="N4">
        <v>40</v>
      </c>
      <c r="O4">
        <v>39</v>
      </c>
      <c r="P4">
        <v>38</v>
      </c>
      <c r="Q4">
        <v>37</v>
      </c>
      <c r="R4">
        <v>36</v>
      </c>
      <c r="S4">
        <v>35</v>
      </c>
      <c r="T4">
        <v>34</v>
      </c>
      <c r="U4">
        <v>33</v>
      </c>
      <c r="V4">
        <v>32</v>
      </c>
      <c r="W4">
        <v>31</v>
      </c>
      <c r="X4">
        <v>30</v>
      </c>
      <c r="Y4">
        <v>29</v>
      </c>
      <c r="Z4">
        <v>28</v>
      </c>
      <c r="AA4">
        <v>27</v>
      </c>
      <c r="AB4">
        <v>26</v>
      </c>
      <c r="AC4">
        <v>25</v>
      </c>
      <c r="AD4">
        <v>24</v>
      </c>
      <c r="AE4">
        <v>23</v>
      </c>
      <c r="AF4">
        <v>22</v>
      </c>
      <c r="AG4">
        <v>21</v>
      </c>
      <c r="AH4">
        <v>20</v>
      </c>
      <c r="AI4">
        <v>19</v>
      </c>
      <c r="AJ4">
        <v>18</v>
      </c>
      <c r="AK4">
        <v>17</v>
      </c>
      <c r="AL4">
        <v>16</v>
      </c>
      <c r="AM4">
        <v>15</v>
      </c>
      <c r="AN4">
        <v>14</v>
      </c>
      <c r="AO4">
        <v>13</v>
      </c>
      <c r="AP4">
        <v>12</v>
      </c>
      <c r="AQ4">
        <v>11</v>
      </c>
      <c r="AR4">
        <v>10</v>
      </c>
      <c r="AS4">
        <v>9</v>
      </c>
      <c r="AT4">
        <v>8</v>
      </c>
      <c r="AU4">
        <v>7</v>
      </c>
      <c r="AV4">
        <v>6</v>
      </c>
      <c r="AW4">
        <v>5</v>
      </c>
      <c r="AX4">
        <v>4</v>
      </c>
      <c r="AY4">
        <v>3</v>
      </c>
      <c r="AZ4">
        <v>2</v>
      </c>
      <c r="BA4">
        <v>1</v>
      </c>
    </row>
    <row r="5" spans="1:53">
      <c r="A5" t="s">
        <v>24</v>
      </c>
      <c r="B5" t="s">
        <v>25</v>
      </c>
      <c r="C5" t="s">
        <v>26</v>
      </c>
      <c r="D5">
        <v>1</v>
      </c>
      <c r="E5">
        <v>1</v>
      </c>
      <c r="F5">
        <v>2</v>
      </c>
      <c r="G5">
        <v>3</v>
      </c>
      <c r="H5">
        <v>3.5</v>
      </c>
      <c r="I5">
        <v>4.2</v>
      </c>
      <c r="J5">
        <v>4.9000000000000004</v>
      </c>
      <c r="K5">
        <v>5.6</v>
      </c>
      <c r="L5">
        <v>6.3</v>
      </c>
      <c r="M5">
        <v>7</v>
      </c>
      <c r="N5">
        <v>7.7</v>
      </c>
      <c r="O5">
        <v>8.4</v>
      </c>
      <c r="P5">
        <v>9.1</v>
      </c>
      <c r="Q5">
        <v>9.8000000000000007</v>
      </c>
      <c r="R5">
        <v>10.5</v>
      </c>
      <c r="S5">
        <v>11.2</v>
      </c>
      <c r="T5">
        <v>11.9</v>
      </c>
      <c r="U5">
        <v>12.6</v>
      </c>
      <c r="V5">
        <v>13.3</v>
      </c>
      <c r="W5">
        <v>14</v>
      </c>
      <c r="X5">
        <v>14.7</v>
      </c>
      <c r="Y5">
        <v>15.4</v>
      </c>
      <c r="Z5">
        <v>16.100000000000001</v>
      </c>
      <c r="AA5">
        <v>16.8</v>
      </c>
      <c r="AB5">
        <v>17.5</v>
      </c>
      <c r="AC5">
        <v>18.2</v>
      </c>
      <c r="AD5">
        <v>18.899999999999999</v>
      </c>
      <c r="AE5">
        <v>19.600000000000001</v>
      </c>
      <c r="AF5">
        <v>20.3</v>
      </c>
      <c r="AG5">
        <v>21</v>
      </c>
      <c r="AH5">
        <v>21.7</v>
      </c>
      <c r="AI5">
        <v>22.4</v>
      </c>
      <c r="AJ5">
        <v>23.1</v>
      </c>
      <c r="AK5">
        <v>23.8</v>
      </c>
      <c r="AL5">
        <v>24.5</v>
      </c>
      <c r="AM5">
        <v>25.2</v>
      </c>
      <c r="AN5">
        <v>25.9</v>
      </c>
      <c r="AO5">
        <v>26.6</v>
      </c>
      <c r="AP5">
        <v>27.3</v>
      </c>
      <c r="AQ5">
        <v>28</v>
      </c>
      <c r="AR5">
        <v>28.7</v>
      </c>
      <c r="AS5">
        <v>29.4</v>
      </c>
      <c r="AT5">
        <v>30.1</v>
      </c>
      <c r="AU5">
        <v>30.8</v>
      </c>
      <c r="AV5">
        <v>31.5</v>
      </c>
      <c r="AW5">
        <v>32.200000000000003</v>
      </c>
      <c r="AX5">
        <v>32.9</v>
      </c>
      <c r="AY5">
        <v>33.6</v>
      </c>
      <c r="AZ5">
        <v>34.299999999999997</v>
      </c>
      <c r="BA5">
        <v>35</v>
      </c>
    </row>
    <row r="6" spans="1:53">
      <c r="A6" t="s">
        <v>48</v>
      </c>
      <c r="B6" t="s">
        <v>22</v>
      </c>
      <c r="C6" t="s">
        <v>23</v>
      </c>
      <c r="D6">
        <v>50</v>
      </c>
      <c r="E6">
        <v>49</v>
      </c>
      <c r="F6">
        <v>48</v>
      </c>
      <c r="G6">
        <v>47</v>
      </c>
      <c r="H6">
        <v>46</v>
      </c>
      <c r="I6">
        <v>45</v>
      </c>
      <c r="J6">
        <v>44</v>
      </c>
      <c r="K6">
        <v>43</v>
      </c>
      <c r="L6">
        <v>42</v>
      </c>
      <c r="M6">
        <v>41</v>
      </c>
      <c r="N6">
        <v>40</v>
      </c>
      <c r="O6">
        <v>39</v>
      </c>
      <c r="P6">
        <v>38</v>
      </c>
      <c r="Q6">
        <v>37</v>
      </c>
      <c r="R6">
        <v>36</v>
      </c>
      <c r="S6">
        <v>35</v>
      </c>
      <c r="T6">
        <v>34</v>
      </c>
      <c r="U6">
        <v>33</v>
      </c>
      <c r="V6">
        <v>32</v>
      </c>
      <c r="W6">
        <v>31</v>
      </c>
      <c r="X6">
        <v>30</v>
      </c>
      <c r="Y6">
        <v>29</v>
      </c>
      <c r="Z6">
        <v>28</v>
      </c>
      <c r="AA6">
        <v>27</v>
      </c>
      <c r="AB6">
        <v>26</v>
      </c>
      <c r="AC6">
        <v>25</v>
      </c>
      <c r="AD6">
        <v>24</v>
      </c>
      <c r="AE6">
        <v>23</v>
      </c>
      <c r="AF6">
        <v>22</v>
      </c>
      <c r="AG6">
        <v>21</v>
      </c>
      <c r="AH6">
        <v>20</v>
      </c>
      <c r="AI6">
        <v>19</v>
      </c>
      <c r="AJ6">
        <v>18</v>
      </c>
      <c r="AK6">
        <v>17</v>
      </c>
      <c r="AL6">
        <v>16</v>
      </c>
      <c r="AM6">
        <v>15</v>
      </c>
      <c r="AN6">
        <v>14</v>
      </c>
      <c r="AO6">
        <v>13</v>
      </c>
      <c r="AP6">
        <v>12</v>
      </c>
      <c r="AQ6">
        <v>11</v>
      </c>
      <c r="AR6">
        <v>10</v>
      </c>
      <c r="AS6">
        <v>9</v>
      </c>
      <c r="AT6">
        <v>8</v>
      </c>
      <c r="AU6">
        <v>7</v>
      </c>
      <c r="AV6">
        <v>6</v>
      </c>
      <c r="AW6">
        <v>5</v>
      </c>
      <c r="AX6">
        <v>4</v>
      </c>
      <c r="AY6">
        <v>3</v>
      </c>
      <c r="AZ6">
        <v>2</v>
      </c>
      <c r="BA6">
        <v>1</v>
      </c>
    </row>
    <row r="7" spans="1:53">
      <c r="A7" t="s">
        <v>49</v>
      </c>
      <c r="B7" t="s">
        <v>25</v>
      </c>
      <c r="C7" t="s">
        <v>26</v>
      </c>
      <c r="D7">
        <v>1</v>
      </c>
      <c r="E7">
        <v>1</v>
      </c>
      <c r="F7">
        <v>2</v>
      </c>
      <c r="G7">
        <v>3</v>
      </c>
      <c r="H7">
        <v>3.5</v>
      </c>
      <c r="I7">
        <v>4.2</v>
      </c>
      <c r="J7">
        <v>4.9000000000000004</v>
      </c>
      <c r="K7">
        <v>5.6</v>
      </c>
      <c r="L7">
        <v>6.3</v>
      </c>
      <c r="M7">
        <v>7</v>
      </c>
      <c r="N7">
        <v>7.7</v>
      </c>
      <c r="O7">
        <v>8.4</v>
      </c>
      <c r="P7">
        <v>9.1</v>
      </c>
      <c r="Q7">
        <v>9.8000000000000007</v>
      </c>
      <c r="R7">
        <v>10.5</v>
      </c>
      <c r="S7">
        <v>11.2</v>
      </c>
      <c r="T7">
        <v>11.9</v>
      </c>
      <c r="U7">
        <v>12.6</v>
      </c>
      <c r="V7">
        <v>13.3</v>
      </c>
      <c r="W7">
        <v>14</v>
      </c>
      <c r="X7">
        <v>14.7</v>
      </c>
      <c r="Y7">
        <v>15.4</v>
      </c>
      <c r="Z7">
        <v>16.100000000000001</v>
      </c>
      <c r="AA7">
        <v>16.8</v>
      </c>
      <c r="AB7">
        <v>17.5</v>
      </c>
      <c r="AC7">
        <v>18.2</v>
      </c>
      <c r="AD7">
        <v>18.899999999999999</v>
      </c>
      <c r="AE7">
        <v>19.600000000000001</v>
      </c>
      <c r="AF7">
        <v>20.3</v>
      </c>
      <c r="AG7">
        <v>21</v>
      </c>
      <c r="AH7">
        <v>21.7</v>
      </c>
      <c r="AI7">
        <v>22.4</v>
      </c>
      <c r="AJ7">
        <v>23.1</v>
      </c>
      <c r="AK7">
        <v>23.8</v>
      </c>
      <c r="AL7">
        <v>24.5</v>
      </c>
      <c r="AM7">
        <v>25.2</v>
      </c>
      <c r="AN7">
        <v>25.9</v>
      </c>
      <c r="AO7">
        <v>26.6</v>
      </c>
      <c r="AP7">
        <v>27.3</v>
      </c>
      <c r="AQ7">
        <v>28</v>
      </c>
      <c r="AR7">
        <v>28.7</v>
      </c>
      <c r="AS7">
        <v>29.4</v>
      </c>
      <c r="AT7">
        <v>30.1</v>
      </c>
      <c r="AU7">
        <v>30.8</v>
      </c>
      <c r="AV7">
        <v>31.5</v>
      </c>
      <c r="AW7">
        <v>32.200000000000003</v>
      </c>
      <c r="AX7">
        <v>32.9</v>
      </c>
      <c r="AY7">
        <v>33.6</v>
      </c>
      <c r="AZ7">
        <v>34.299999999999997</v>
      </c>
      <c r="BA7">
        <v>35</v>
      </c>
    </row>
  </sheetData>
  <mergeCells count="1">
    <mergeCell ref="D1:B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8096-72CC-4ADA-A44C-095755792EB0}">
  <dimension ref="A1:F103"/>
  <sheetViews>
    <sheetView tabSelected="1" workbookViewId="0">
      <selection activeCell="G102" sqref="G102"/>
    </sheetView>
  </sheetViews>
  <sheetFormatPr defaultRowHeight="14.45"/>
  <cols>
    <col min="1" max="1" width="35.28515625" customWidth="1"/>
    <col min="2" max="2" width="19.28515625" customWidth="1"/>
    <col min="3" max="3" width="16.28515625" customWidth="1"/>
    <col min="4" max="4" width="15" customWidth="1"/>
    <col min="5" max="5" width="11.5703125" customWidth="1"/>
    <col min="6" max="6" width="22.5703125" customWidth="1"/>
    <col min="7" max="7" width="9.85546875" bestFit="1" customWidth="1"/>
  </cols>
  <sheetData>
    <row r="1" spans="1:6" s="4" customFormat="1" ht="15">
      <c r="A1" s="4" t="s">
        <v>50</v>
      </c>
      <c r="B1" s="4" t="s">
        <v>39</v>
      </c>
      <c r="C1" s="4" t="s">
        <v>51</v>
      </c>
      <c r="D1" s="4" t="s">
        <v>52</v>
      </c>
      <c r="E1" s="4" t="s">
        <v>53</v>
      </c>
      <c r="F1" s="4" t="s">
        <v>54</v>
      </c>
    </row>
    <row r="2" spans="1:6">
      <c r="A2" t="s">
        <v>55</v>
      </c>
      <c r="B2" t="s">
        <v>29</v>
      </c>
      <c r="C2">
        <v>0.35599999999999998</v>
      </c>
      <c r="D2">
        <v>0.35699999999999998</v>
      </c>
      <c r="E2">
        <v>1.3420000000000001</v>
      </c>
      <c r="F2">
        <v>1.5009999999999999</v>
      </c>
    </row>
    <row r="3" spans="1:6">
      <c r="A3" t="s">
        <v>56</v>
      </c>
      <c r="B3" t="s">
        <v>29</v>
      </c>
      <c r="C3">
        <v>0.35499999999999998</v>
      </c>
      <c r="D3">
        <v>0.35599999999999998</v>
      </c>
      <c r="E3">
        <v>1.3260000000000001</v>
      </c>
      <c r="F3">
        <v>1.526</v>
      </c>
    </row>
    <row r="4" spans="1:6">
      <c r="A4" t="s">
        <v>57</v>
      </c>
      <c r="B4" t="s">
        <v>58</v>
      </c>
      <c r="C4">
        <v>0.35699999999999998</v>
      </c>
      <c r="D4">
        <v>0.35199999999999998</v>
      </c>
      <c r="E4">
        <v>1.343</v>
      </c>
      <c r="F4">
        <v>1.5289999999999999</v>
      </c>
    </row>
    <row r="5" spans="1:6">
      <c r="A5" t="s">
        <v>59</v>
      </c>
      <c r="B5" t="s">
        <v>60</v>
      </c>
      <c r="C5">
        <v>0.36099999999999999</v>
      </c>
      <c r="D5">
        <v>0.36599999999999999</v>
      </c>
      <c r="E5">
        <v>1.371</v>
      </c>
      <c r="F5">
        <v>1.4770000000000001</v>
      </c>
    </row>
    <row r="6" spans="1:6">
      <c r="A6" t="s">
        <v>61</v>
      </c>
      <c r="B6" t="s">
        <v>60</v>
      </c>
      <c r="C6">
        <v>0.35399999999999998</v>
      </c>
      <c r="D6">
        <v>0.35499999999999998</v>
      </c>
      <c r="E6">
        <v>1.3380000000000001</v>
      </c>
      <c r="F6">
        <v>1.528</v>
      </c>
    </row>
    <row r="7" spans="1:6">
      <c r="A7" t="s">
        <v>62</v>
      </c>
      <c r="B7" t="s">
        <v>60</v>
      </c>
      <c r="C7">
        <v>0.36099999999999999</v>
      </c>
      <c r="D7">
        <v>0.36199999999999999</v>
      </c>
      <c r="E7">
        <v>1.3440000000000001</v>
      </c>
      <c r="F7">
        <v>1.476</v>
      </c>
    </row>
    <row r="8" spans="1:6">
      <c r="A8" t="s">
        <v>63</v>
      </c>
      <c r="B8" t="s">
        <v>64</v>
      </c>
      <c r="C8">
        <v>0.35699999999999998</v>
      </c>
      <c r="D8">
        <v>0.35299999999999998</v>
      </c>
      <c r="E8">
        <v>1.4039999999999999</v>
      </c>
    </row>
    <row r="9" spans="1:6">
      <c r="A9" t="s">
        <v>65</v>
      </c>
      <c r="B9" t="s">
        <v>64</v>
      </c>
      <c r="C9">
        <v>0.35</v>
      </c>
      <c r="D9">
        <v>0.34799999999999998</v>
      </c>
      <c r="E9">
        <v>1.341</v>
      </c>
      <c r="F9">
        <v>1.536</v>
      </c>
    </row>
    <row r="10" spans="1:6">
      <c r="A10" t="s">
        <v>66</v>
      </c>
      <c r="B10" t="s">
        <v>67</v>
      </c>
      <c r="C10">
        <v>0.36699999999999999</v>
      </c>
      <c r="D10">
        <v>0.36899999999999999</v>
      </c>
      <c r="E10">
        <v>1.512</v>
      </c>
      <c r="F10">
        <v>1.5980000000000001</v>
      </c>
    </row>
    <row r="11" spans="1:6">
      <c r="A11" t="s">
        <v>68</v>
      </c>
      <c r="B11" t="s">
        <v>67</v>
      </c>
      <c r="C11">
        <v>0.36599999999999999</v>
      </c>
      <c r="D11">
        <v>0.36799999999999999</v>
      </c>
      <c r="E11">
        <v>1.472</v>
      </c>
      <c r="F11">
        <v>1.506</v>
      </c>
    </row>
    <row r="12" spans="1:6">
      <c r="A12" t="s">
        <v>69</v>
      </c>
      <c r="B12" t="s">
        <v>70</v>
      </c>
      <c r="C12">
        <v>0.36599999999999999</v>
      </c>
      <c r="D12">
        <v>0.371</v>
      </c>
      <c r="E12">
        <v>1.508</v>
      </c>
      <c r="F12">
        <v>1.587</v>
      </c>
    </row>
    <row r="13" spans="1:6">
      <c r="A13" t="s">
        <v>71</v>
      </c>
      <c r="B13" t="s">
        <v>70</v>
      </c>
      <c r="C13">
        <v>0.36499999999999999</v>
      </c>
      <c r="D13">
        <v>0.36399999999999999</v>
      </c>
      <c r="E13">
        <v>1.5029999999999999</v>
      </c>
      <c r="F13">
        <v>1.5660000000000001</v>
      </c>
    </row>
    <row r="14" spans="1:6">
      <c r="A14" t="s">
        <v>72</v>
      </c>
      <c r="B14" t="s">
        <v>73</v>
      </c>
      <c r="C14">
        <v>0.36699999999999999</v>
      </c>
      <c r="D14">
        <v>0.36199999999999999</v>
      </c>
      <c r="E14">
        <v>1.468</v>
      </c>
      <c r="F14">
        <v>1.5740000000000001</v>
      </c>
    </row>
    <row r="15" spans="1:6">
      <c r="A15" t="s">
        <v>74</v>
      </c>
      <c r="B15" t="s">
        <v>75</v>
      </c>
      <c r="C15">
        <v>0.36199999999999999</v>
      </c>
      <c r="D15">
        <v>0.35799999999999998</v>
      </c>
      <c r="E15">
        <v>1.4359999999999999</v>
      </c>
      <c r="F15">
        <v>1.5620000000000001</v>
      </c>
    </row>
    <row r="16" spans="1:6">
      <c r="A16" t="s">
        <v>76</v>
      </c>
      <c r="B16" t="s">
        <v>75</v>
      </c>
      <c r="C16">
        <v>0.36799999999999999</v>
      </c>
      <c r="D16">
        <v>0.36599999999999999</v>
      </c>
    </row>
    <row r="17" spans="1:6">
      <c r="A17" t="s">
        <v>77</v>
      </c>
      <c r="B17" t="s">
        <v>78</v>
      </c>
      <c r="C17">
        <v>0.35899999999999999</v>
      </c>
      <c r="D17">
        <v>0.36299999999999999</v>
      </c>
    </row>
    <row r="18" spans="1:6">
      <c r="A18" t="s">
        <v>79</v>
      </c>
      <c r="B18" t="s">
        <v>78</v>
      </c>
      <c r="C18">
        <v>0.36099999999999999</v>
      </c>
      <c r="D18">
        <v>0.35499999999999998</v>
      </c>
      <c r="E18">
        <v>1.361</v>
      </c>
      <c r="F18">
        <v>1.4470000000000001</v>
      </c>
    </row>
    <row r="19" spans="1:6">
      <c r="A19" t="s">
        <v>80</v>
      </c>
      <c r="B19" t="s">
        <v>81</v>
      </c>
      <c r="C19">
        <v>0.35599999999999998</v>
      </c>
      <c r="D19">
        <v>0.35699999999999998</v>
      </c>
      <c r="E19">
        <v>1.2689999999999999</v>
      </c>
    </row>
    <row r="20" spans="1:6">
      <c r="A20" t="s">
        <v>82</v>
      </c>
      <c r="B20" t="s">
        <v>83</v>
      </c>
      <c r="C20">
        <v>0.36599999999999999</v>
      </c>
      <c r="D20">
        <v>0.35699999999999998</v>
      </c>
      <c r="E20">
        <v>1.429</v>
      </c>
    </row>
    <row r="21" spans="1:6">
      <c r="A21" t="s">
        <v>84</v>
      </c>
      <c r="B21" t="s">
        <v>85</v>
      </c>
      <c r="C21">
        <v>0.36099999999999999</v>
      </c>
      <c r="D21">
        <v>0.36499999999999999</v>
      </c>
      <c r="E21">
        <v>1.452</v>
      </c>
      <c r="F21">
        <v>1.5669999999999999</v>
      </c>
    </row>
    <row r="22" spans="1:6">
      <c r="A22" t="s">
        <v>86</v>
      </c>
      <c r="B22" t="s">
        <v>87</v>
      </c>
      <c r="C22">
        <v>0.36899999999999999</v>
      </c>
      <c r="D22">
        <v>0.36599999999999999</v>
      </c>
      <c r="E22">
        <v>1.431</v>
      </c>
      <c r="F22">
        <v>1.488</v>
      </c>
    </row>
    <row r="23" spans="1:6">
      <c r="A23" t="s">
        <v>88</v>
      </c>
      <c r="B23" t="s">
        <v>89</v>
      </c>
      <c r="C23">
        <v>0.36399999999999999</v>
      </c>
      <c r="D23">
        <v>0.36499999999999999</v>
      </c>
      <c r="E23">
        <v>1.45</v>
      </c>
      <c r="F23">
        <v>1.5609999999999999</v>
      </c>
    </row>
    <row r="24" spans="1:6">
      <c r="A24" t="s">
        <v>90</v>
      </c>
      <c r="B24" t="s">
        <v>91</v>
      </c>
      <c r="C24">
        <v>0.36499999999999999</v>
      </c>
      <c r="D24">
        <v>0.36799999999999999</v>
      </c>
      <c r="E24">
        <v>1.5189999999999999</v>
      </c>
      <c r="F24">
        <v>1.599</v>
      </c>
    </row>
    <row r="25" spans="1:6">
      <c r="A25" t="s">
        <v>92</v>
      </c>
      <c r="B25" t="s">
        <v>93</v>
      </c>
      <c r="C25">
        <v>0.378</v>
      </c>
      <c r="D25">
        <v>0.37</v>
      </c>
      <c r="E25">
        <v>1.651</v>
      </c>
      <c r="F25">
        <v>1.7190000000000001</v>
      </c>
    </row>
    <row r="26" spans="1:6">
      <c r="A26" t="s">
        <v>94</v>
      </c>
      <c r="B26" t="s">
        <v>93</v>
      </c>
      <c r="C26">
        <v>0.373</v>
      </c>
      <c r="D26">
        <v>0.377</v>
      </c>
      <c r="E26">
        <v>1.6240000000000001</v>
      </c>
      <c r="F26">
        <v>1.6970000000000001</v>
      </c>
    </row>
    <row r="27" spans="1:6">
      <c r="A27" t="s">
        <v>95</v>
      </c>
      <c r="B27" t="s">
        <v>96</v>
      </c>
      <c r="C27">
        <v>0.375</v>
      </c>
      <c r="D27">
        <v>0.379</v>
      </c>
      <c r="E27">
        <v>1.6659999999999999</v>
      </c>
      <c r="F27">
        <v>1.7250000000000001</v>
      </c>
    </row>
    <row r="28" spans="1:6">
      <c r="A28" t="s">
        <v>97</v>
      </c>
      <c r="B28" t="s">
        <v>96</v>
      </c>
      <c r="C28">
        <v>0.375</v>
      </c>
      <c r="D28">
        <v>0.38</v>
      </c>
      <c r="E28">
        <v>1.6759999999999999</v>
      </c>
      <c r="F28">
        <v>1.756</v>
      </c>
    </row>
    <row r="29" spans="1:6">
      <c r="A29" t="s">
        <v>98</v>
      </c>
      <c r="B29" t="s">
        <v>99</v>
      </c>
      <c r="C29">
        <v>0.36899999999999999</v>
      </c>
      <c r="D29">
        <v>0.371</v>
      </c>
      <c r="E29">
        <v>1.508</v>
      </c>
      <c r="F29">
        <v>1.5980000000000001</v>
      </c>
    </row>
    <row r="30" spans="1:6">
      <c r="A30" t="s">
        <v>100</v>
      </c>
      <c r="B30" t="s">
        <v>99</v>
      </c>
      <c r="C30">
        <v>0.36199999999999999</v>
      </c>
      <c r="D30">
        <v>0.36499999999999999</v>
      </c>
      <c r="E30">
        <v>1.5049999999999999</v>
      </c>
      <c r="F30">
        <v>1.5880000000000001</v>
      </c>
    </row>
    <row r="31" spans="1:6">
      <c r="A31" t="s">
        <v>101</v>
      </c>
      <c r="B31" t="s">
        <v>102</v>
      </c>
      <c r="C31">
        <v>0.36299999999999999</v>
      </c>
      <c r="D31">
        <v>0.37</v>
      </c>
      <c r="E31">
        <v>1.409</v>
      </c>
    </row>
    <row r="32" spans="1:6">
      <c r="A32" t="s">
        <v>103</v>
      </c>
      <c r="B32" t="s">
        <v>102</v>
      </c>
      <c r="C32">
        <v>0.36199999999999999</v>
      </c>
      <c r="D32">
        <v>0.36399999999999999</v>
      </c>
      <c r="E32">
        <v>1.4350000000000001</v>
      </c>
      <c r="F32">
        <v>1.4910000000000001</v>
      </c>
    </row>
    <row r="33" spans="1:6">
      <c r="A33" t="s">
        <v>104</v>
      </c>
      <c r="B33" t="s">
        <v>105</v>
      </c>
      <c r="C33">
        <v>0.35499999999999998</v>
      </c>
      <c r="D33">
        <v>0.35199999999999998</v>
      </c>
      <c r="E33">
        <v>1.3220000000000001</v>
      </c>
    </row>
    <row r="34" spans="1:6">
      <c r="A34" t="s">
        <v>106</v>
      </c>
      <c r="B34" t="s">
        <v>105</v>
      </c>
      <c r="C34">
        <v>0.34799999999999998</v>
      </c>
      <c r="D34">
        <v>0.35</v>
      </c>
      <c r="E34">
        <v>1.3129999999999999</v>
      </c>
      <c r="F34">
        <v>1.466</v>
      </c>
    </row>
    <row r="35" spans="1:6">
      <c r="A35" t="s">
        <v>107</v>
      </c>
      <c r="B35" t="s">
        <v>108</v>
      </c>
      <c r="C35">
        <v>0.371</v>
      </c>
      <c r="D35">
        <v>0.373</v>
      </c>
      <c r="E35">
        <v>1.5089999999999999</v>
      </c>
      <c r="F35">
        <v>1.5940000000000001</v>
      </c>
    </row>
    <row r="36" spans="1:6">
      <c r="A36" t="s">
        <v>109</v>
      </c>
      <c r="B36" t="s">
        <v>110</v>
      </c>
      <c r="C36">
        <v>0.37</v>
      </c>
      <c r="D36">
        <v>0.37</v>
      </c>
      <c r="E36">
        <v>1.4690000000000001</v>
      </c>
      <c r="F36">
        <v>1.5589999999999999</v>
      </c>
    </row>
    <row r="37" spans="1:6">
      <c r="A37" t="s">
        <v>111</v>
      </c>
      <c r="B37" t="s">
        <v>110</v>
      </c>
      <c r="C37">
        <v>0.37</v>
      </c>
      <c r="D37">
        <v>0.373</v>
      </c>
      <c r="E37">
        <v>1.488</v>
      </c>
      <c r="F37">
        <v>1.579</v>
      </c>
    </row>
    <row r="38" spans="1:6">
      <c r="A38" t="s">
        <v>112</v>
      </c>
      <c r="B38" t="s">
        <v>113</v>
      </c>
      <c r="C38">
        <v>0.372</v>
      </c>
      <c r="D38">
        <v>0.373</v>
      </c>
      <c r="E38">
        <v>1.528</v>
      </c>
      <c r="F38">
        <v>1.619</v>
      </c>
    </row>
    <row r="39" spans="1:6">
      <c r="A39" t="s">
        <v>114</v>
      </c>
      <c r="B39" t="s">
        <v>115</v>
      </c>
      <c r="C39">
        <v>0.375</v>
      </c>
      <c r="D39">
        <v>0.37</v>
      </c>
      <c r="E39">
        <v>1.5860000000000001</v>
      </c>
      <c r="F39">
        <v>1.665</v>
      </c>
    </row>
    <row r="40" spans="1:6">
      <c r="A40" t="s">
        <v>116</v>
      </c>
      <c r="B40" t="s">
        <v>117</v>
      </c>
      <c r="C40">
        <v>0.375</v>
      </c>
      <c r="D40">
        <v>0.375</v>
      </c>
      <c r="E40">
        <v>1.7070000000000001</v>
      </c>
      <c r="F40">
        <v>1.6619999999999999</v>
      </c>
    </row>
    <row r="41" spans="1:6">
      <c r="A41" t="s">
        <v>118</v>
      </c>
      <c r="B41" t="s">
        <v>117</v>
      </c>
      <c r="C41">
        <v>0.374</v>
      </c>
      <c r="D41">
        <v>0.374</v>
      </c>
      <c r="E41">
        <v>1.649</v>
      </c>
      <c r="F41">
        <v>1.7050000000000001</v>
      </c>
    </row>
    <row r="42" spans="1:6">
      <c r="A42" t="s">
        <v>119</v>
      </c>
      <c r="B42" t="s">
        <v>120</v>
      </c>
      <c r="C42">
        <v>0.374</v>
      </c>
      <c r="D42">
        <v>0.377</v>
      </c>
      <c r="E42">
        <v>1.7929999999999999</v>
      </c>
      <c r="F42">
        <v>1.708</v>
      </c>
    </row>
    <row r="43" spans="1:6">
      <c r="A43" t="s">
        <v>121</v>
      </c>
      <c r="B43" t="s">
        <v>120</v>
      </c>
      <c r="C43">
        <v>0.378</v>
      </c>
      <c r="D43">
        <v>0.376</v>
      </c>
      <c r="E43">
        <v>1.706</v>
      </c>
      <c r="F43">
        <v>1.7649999999999999</v>
      </c>
    </row>
    <row r="44" spans="1:6">
      <c r="A44" t="s">
        <v>122</v>
      </c>
      <c r="B44" t="s">
        <v>123</v>
      </c>
      <c r="C44">
        <v>0.373</v>
      </c>
      <c r="D44">
        <v>0.373</v>
      </c>
      <c r="E44">
        <v>1.6120000000000001</v>
      </c>
      <c r="F44">
        <v>1.6890000000000001</v>
      </c>
    </row>
    <row r="45" spans="1:6">
      <c r="A45" t="s">
        <v>124</v>
      </c>
      <c r="B45" t="s">
        <v>125</v>
      </c>
      <c r="C45">
        <v>0.375</v>
      </c>
      <c r="D45">
        <v>0.373</v>
      </c>
      <c r="E45">
        <v>1.6359999999999999</v>
      </c>
      <c r="F45">
        <v>1.708</v>
      </c>
    </row>
    <row r="46" spans="1:6">
      <c r="A46" t="s">
        <v>126</v>
      </c>
      <c r="B46" t="s">
        <v>127</v>
      </c>
      <c r="C46">
        <v>0.37</v>
      </c>
      <c r="D46">
        <v>0.36899999999999999</v>
      </c>
      <c r="E46">
        <v>1.5289999999999999</v>
      </c>
      <c r="F46">
        <v>1.62</v>
      </c>
    </row>
    <row r="47" spans="1:6">
      <c r="A47" t="s">
        <v>128</v>
      </c>
      <c r="B47" t="s">
        <v>127</v>
      </c>
      <c r="C47">
        <v>0.36699999999999999</v>
      </c>
      <c r="D47">
        <v>0.36899999999999999</v>
      </c>
      <c r="E47">
        <v>1.5569999999999999</v>
      </c>
      <c r="F47">
        <v>1.6259999999999999</v>
      </c>
    </row>
    <row r="48" spans="1:6">
      <c r="A48" t="s">
        <v>129</v>
      </c>
      <c r="B48" t="s">
        <v>130</v>
      </c>
      <c r="C48">
        <v>0.36599999999999999</v>
      </c>
      <c r="D48">
        <v>0.36599999999999999</v>
      </c>
      <c r="E48">
        <v>1.5660000000000001</v>
      </c>
      <c r="F48">
        <v>1.6459999999999999</v>
      </c>
    </row>
    <row r="49" spans="1:6">
      <c r="A49" t="s">
        <v>131</v>
      </c>
      <c r="B49" t="s">
        <v>130</v>
      </c>
      <c r="C49">
        <v>0.36599999999999999</v>
      </c>
      <c r="D49">
        <v>0.36499999999999999</v>
      </c>
      <c r="E49">
        <v>1.5569999999999999</v>
      </c>
      <c r="F49">
        <v>1.62</v>
      </c>
    </row>
    <row r="50" spans="1:6">
      <c r="A50" t="s">
        <v>132</v>
      </c>
      <c r="B50" t="s">
        <v>133</v>
      </c>
      <c r="C50">
        <v>0.372</v>
      </c>
      <c r="D50">
        <v>0.36699999999999999</v>
      </c>
      <c r="E50">
        <v>1.577</v>
      </c>
      <c r="F50">
        <v>1.681</v>
      </c>
    </row>
    <row r="51" spans="1:6">
      <c r="A51" t="s">
        <v>134</v>
      </c>
      <c r="B51" t="s">
        <v>133</v>
      </c>
      <c r="C51">
        <v>0.36799999999999999</v>
      </c>
      <c r="D51">
        <v>0.36899999999999999</v>
      </c>
      <c r="E51">
        <v>1.585</v>
      </c>
      <c r="F51">
        <v>1.663</v>
      </c>
    </row>
    <row r="52" spans="1:6">
      <c r="A52" t="s">
        <v>135</v>
      </c>
      <c r="B52" t="s">
        <v>133</v>
      </c>
      <c r="C52">
        <v>0.371</v>
      </c>
      <c r="D52">
        <v>0.372</v>
      </c>
      <c r="E52">
        <v>1.59</v>
      </c>
      <c r="F52">
        <v>1.667</v>
      </c>
    </row>
    <row r="53" spans="1:6">
      <c r="A53" t="s">
        <v>136</v>
      </c>
      <c r="B53" t="s">
        <v>137</v>
      </c>
      <c r="C53">
        <v>0.36899999999999999</v>
      </c>
      <c r="D53">
        <v>0.37</v>
      </c>
      <c r="E53">
        <v>1.571</v>
      </c>
      <c r="F53">
        <v>1.651</v>
      </c>
    </row>
    <row r="54" spans="1:6">
      <c r="A54" t="s">
        <v>138</v>
      </c>
      <c r="B54" t="s">
        <v>137</v>
      </c>
      <c r="C54">
        <v>0.36799999999999999</v>
      </c>
      <c r="D54">
        <v>0.36799999999999999</v>
      </c>
      <c r="E54">
        <v>1.55</v>
      </c>
      <c r="F54">
        <v>1.6479999999999999</v>
      </c>
    </row>
    <row r="55" spans="1:6">
      <c r="A55" t="s">
        <v>139</v>
      </c>
      <c r="B55" t="s">
        <v>140</v>
      </c>
      <c r="C55">
        <v>0.36</v>
      </c>
      <c r="D55">
        <v>0.36</v>
      </c>
      <c r="E55">
        <v>1.518</v>
      </c>
      <c r="F55">
        <v>1.623</v>
      </c>
    </row>
    <row r="56" spans="1:6">
      <c r="A56" t="s">
        <v>141</v>
      </c>
      <c r="B56" t="s">
        <v>140</v>
      </c>
      <c r="C56">
        <v>0.34</v>
      </c>
      <c r="D56">
        <v>0.33500000000000002</v>
      </c>
      <c r="E56">
        <v>1.5449999999999999</v>
      </c>
      <c r="F56">
        <v>1.6419999999999999</v>
      </c>
    </row>
    <row r="57" spans="1:6">
      <c r="A57" t="s">
        <v>142</v>
      </c>
      <c r="B57" t="s">
        <v>140</v>
      </c>
      <c r="C57">
        <v>0.35399999999999998</v>
      </c>
      <c r="D57">
        <v>0.35199999999999998</v>
      </c>
      <c r="E57">
        <v>1.5349999999999999</v>
      </c>
      <c r="F57">
        <v>1.633</v>
      </c>
    </row>
    <row r="58" spans="1:6">
      <c r="A58" t="s">
        <v>143</v>
      </c>
      <c r="B58" t="s">
        <v>140</v>
      </c>
      <c r="C58">
        <v>0.35399999999999998</v>
      </c>
      <c r="D58">
        <v>0.35099999999999998</v>
      </c>
      <c r="E58">
        <v>1.514</v>
      </c>
      <c r="F58">
        <v>1.6140000000000001</v>
      </c>
    </row>
    <row r="59" spans="1:6">
      <c r="A59" t="s">
        <v>144</v>
      </c>
      <c r="B59" t="s">
        <v>145</v>
      </c>
      <c r="C59">
        <v>0.38100000000000001</v>
      </c>
      <c r="D59">
        <v>0.38700000000000001</v>
      </c>
      <c r="E59">
        <v>1.825</v>
      </c>
      <c r="F59">
        <v>1.859</v>
      </c>
    </row>
    <row r="60" spans="1:6">
      <c r="A60" t="s">
        <v>146</v>
      </c>
      <c r="B60" t="s">
        <v>145</v>
      </c>
      <c r="C60">
        <v>0.38200000000000001</v>
      </c>
      <c r="D60">
        <v>0.38100000000000001</v>
      </c>
      <c r="E60">
        <v>1.784</v>
      </c>
      <c r="F60">
        <v>1.861</v>
      </c>
    </row>
    <row r="61" spans="1:6">
      <c r="A61" t="s">
        <v>147</v>
      </c>
      <c r="B61" t="s">
        <v>148</v>
      </c>
      <c r="C61">
        <v>0.372</v>
      </c>
      <c r="D61">
        <v>0.376</v>
      </c>
      <c r="E61">
        <v>1.6459999999999999</v>
      </c>
      <c r="F61">
        <v>1.712</v>
      </c>
    </row>
    <row r="62" spans="1:6">
      <c r="A62" t="s">
        <v>149</v>
      </c>
      <c r="B62" t="s">
        <v>148</v>
      </c>
      <c r="C62">
        <v>0.375</v>
      </c>
      <c r="D62">
        <v>0.377</v>
      </c>
      <c r="E62">
        <v>1.6859999999999999</v>
      </c>
      <c r="F62">
        <v>1.752</v>
      </c>
    </row>
    <row r="63" spans="1:6">
      <c r="A63" t="s">
        <v>150</v>
      </c>
      <c r="B63" t="s">
        <v>151</v>
      </c>
      <c r="C63">
        <v>0.373</v>
      </c>
      <c r="D63">
        <v>0.374</v>
      </c>
      <c r="E63">
        <v>1.585</v>
      </c>
      <c r="F63">
        <v>1.6619999999999999</v>
      </c>
    </row>
    <row r="64" spans="1:6">
      <c r="A64" t="s">
        <v>152</v>
      </c>
      <c r="B64" t="s">
        <v>151</v>
      </c>
      <c r="C64">
        <v>0.374</v>
      </c>
      <c r="D64">
        <v>0.372</v>
      </c>
      <c r="E64">
        <v>1.64</v>
      </c>
      <c r="F64">
        <v>1.6060000000000001</v>
      </c>
    </row>
    <row r="65" spans="1:6">
      <c r="A65" t="s">
        <v>153</v>
      </c>
      <c r="B65" t="s">
        <v>154</v>
      </c>
      <c r="C65">
        <v>0.36499999999999999</v>
      </c>
      <c r="D65">
        <v>0.36399999999999999</v>
      </c>
      <c r="E65">
        <v>1.5289999999999999</v>
      </c>
      <c r="F65">
        <v>1.6160000000000001</v>
      </c>
    </row>
    <row r="66" spans="1:6">
      <c r="A66" t="s">
        <v>155</v>
      </c>
      <c r="B66" t="s">
        <v>156</v>
      </c>
      <c r="C66">
        <v>0.36499999999999999</v>
      </c>
      <c r="D66">
        <v>0.36399999999999999</v>
      </c>
      <c r="E66">
        <v>1.52</v>
      </c>
      <c r="F66">
        <v>1.595</v>
      </c>
    </row>
    <row r="67" spans="1:6">
      <c r="A67" t="s">
        <v>157</v>
      </c>
      <c r="B67" t="s">
        <v>156</v>
      </c>
      <c r="C67">
        <v>0.36799999999999999</v>
      </c>
      <c r="D67">
        <v>0.36099999999999999</v>
      </c>
      <c r="E67">
        <v>1.4850000000000001</v>
      </c>
      <c r="F67">
        <v>1.58</v>
      </c>
    </row>
    <row r="68" spans="1:6">
      <c r="A68" t="s">
        <v>158</v>
      </c>
      <c r="B68" t="s">
        <v>156</v>
      </c>
      <c r="C68">
        <v>0.35899999999999999</v>
      </c>
      <c r="D68">
        <v>0.36399999999999999</v>
      </c>
      <c r="E68">
        <v>1.518</v>
      </c>
      <c r="F68">
        <v>1.5980000000000001</v>
      </c>
    </row>
    <row r="69" spans="1:6">
      <c r="A69" t="s">
        <v>159</v>
      </c>
      <c r="B69" t="s">
        <v>160</v>
      </c>
      <c r="C69">
        <v>0.36799999999999999</v>
      </c>
      <c r="D69">
        <v>0.376</v>
      </c>
      <c r="E69">
        <v>1.6559999999999999</v>
      </c>
      <c r="F69">
        <v>1.73</v>
      </c>
    </row>
    <row r="70" spans="1:6">
      <c r="A70" t="s">
        <v>161</v>
      </c>
      <c r="B70" t="s">
        <v>160</v>
      </c>
      <c r="C70">
        <v>0.374</v>
      </c>
      <c r="D70">
        <v>0.376</v>
      </c>
      <c r="E70">
        <v>1.6759999999999999</v>
      </c>
      <c r="F70">
        <v>1.7470000000000001</v>
      </c>
    </row>
    <row r="71" spans="1:6">
      <c r="A71" t="s">
        <v>162</v>
      </c>
      <c r="B71" t="s">
        <v>160</v>
      </c>
      <c r="C71">
        <v>0.373</v>
      </c>
      <c r="D71">
        <v>0.38</v>
      </c>
      <c r="E71">
        <v>1.716</v>
      </c>
      <c r="F71">
        <v>1.7629999999999999</v>
      </c>
    </row>
    <row r="72" spans="1:6">
      <c r="A72" t="s">
        <v>163</v>
      </c>
      <c r="B72" t="s">
        <v>164</v>
      </c>
      <c r="C72">
        <v>0.372</v>
      </c>
      <c r="D72">
        <v>0.371</v>
      </c>
      <c r="E72">
        <v>1.556</v>
      </c>
      <c r="F72">
        <v>1.635</v>
      </c>
    </row>
    <row r="73" spans="1:6">
      <c r="A73" t="s">
        <v>165</v>
      </c>
      <c r="B73" t="s">
        <v>164</v>
      </c>
      <c r="C73">
        <v>0.36599999999999999</v>
      </c>
      <c r="D73">
        <v>0.36499999999999999</v>
      </c>
      <c r="E73">
        <v>1.5349999999999999</v>
      </c>
      <c r="F73">
        <v>1.6040000000000001</v>
      </c>
    </row>
    <row r="74" spans="1:6">
      <c r="A74" t="s">
        <v>166</v>
      </c>
      <c r="B74" t="s">
        <v>164</v>
      </c>
      <c r="C74">
        <v>0.36899999999999999</v>
      </c>
      <c r="D74">
        <v>0.371</v>
      </c>
      <c r="E74">
        <v>1.5669999999999999</v>
      </c>
      <c r="F74">
        <v>1.635</v>
      </c>
    </row>
    <row r="75" spans="1:6">
      <c r="A75" t="s">
        <v>167</v>
      </c>
      <c r="B75" t="s">
        <v>168</v>
      </c>
      <c r="C75">
        <v>0.35799999999999998</v>
      </c>
      <c r="D75">
        <v>0.35499999999999998</v>
      </c>
    </row>
    <row r="76" spans="1:6">
      <c r="A76" t="s">
        <v>169</v>
      </c>
      <c r="B76" t="s">
        <v>168</v>
      </c>
      <c r="C76">
        <v>0.35699999999999998</v>
      </c>
      <c r="D76">
        <v>0.36299999999999999</v>
      </c>
      <c r="E76">
        <v>1.2609999999999999</v>
      </c>
      <c r="F76">
        <v>1.3520000000000001</v>
      </c>
    </row>
    <row r="77" spans="1:6">
      <c r="A77" t="s">
        <v>170</v>
      </c>
      <c r="B77" t="s">
        <v>171</v>
      </c>
      <c r="C77">
        <v>0.36299999999999999</v>
      </c>
      <c r="D77">
        <v>0.36299999999999999</v>
      </c>
      <c r="E77">
        <v>1.3580000000000001</v>
      </c>
    </row>
    <row r="78" spans="1:6">
      <c r="A78" t="s">
        <v>172</v>
      </c>
      <c r="B78" t="s">
        <v>173</v>
      </c>
      <c r="C78">
        <v>0.36299999999999999</v>
      </c>
      <c r="D78">
        <v>0.37</v>
      </c>
      <c r="E78">
        <v>1.4219999999999999</v>
      </c>
    </row>
    <row r="79" spans="1:6">
      <c r="A79" t="s">
        <v>174</v>
      </c>
      <c r="B79" t="s">
        <v>173</v>
      </c>
      <c r="C79">
        <v>0.36399999999999999</v>
      </c>
      <c r="D79">
        <v>0.36199999999999999</v>
      </c>
      <c r="E79">
        <v>1.351</v>
      </c>
    </row>
    <row r="80" spans="1:6">
      <c r="A80" t="s">
        <v>175</v>
      </c>
      <c r="B80" t="s">
        <v>176</v>
      </c>
      <c r="C80">
        <v>0.36299999999999999</v>
      </c>
      <c r="D80">
        <v>0.36599999999999999</v>
      </c>
      <c r="E80">
        <v>1.391</v>
      </c>
    </row>
    <row r="81" spans="1:6">
      <c r="A81" t="s">
        <v>177</v>
      </c>
      <c r="B81" t="s">
        <v>176</v>
      </c>
      <c r="C81">
        <v>0.36</v>
      </c>
      <c r="D81">
        <v>0.35799999999999998</v>
      </c>
      <c r="E81">
        <v>1.3109999999999999</v>
      </c>
    </row>
    <row r="82" spans="1:6">
      <c r="A82" t="s">
        <v>178</v>
      </c>
      <c r="B82" t="s">
        <v>179</v>
      </c>
      <c r="C82">
        <v>0.36299999999999999</v>
      </c>
      <c r="D82">
        <v>0.36299999999999999</v>
      </c>
      <c r="E82">
        <v>1.446</v>
      </c>
    </row>
    <row r="83" spans="1:6">
      <c r="A83" t="s">
        <v>180</v>
      </c>
      <c r="B83" t="s">
        <v>181</v>
      </c>
      <c r="C83">
        <v>0.37</v>
      </c>
      <c r="D83">
        <v>0.37</v>
      </c>
      <c r="E83">
        <v>1.556</v>
      </c>
      <c r="F83">
        <v>1.6379999999999999</v>
      </c>
    </row>
    <row r="84" spans="1:6">
      <c r="A84" t="s">
        <v>182</v>
      </c>
      <c r="B84" t="s">
        <v>183</v>
      </c>
      <c r="C84">
        <v>0.375</v>
      </c>
      <c r="D84">
        <v>0.378</v>
      </c>
      <c r="E84">
        <v>1.677</v>
      </c>
      <c r="F84">
        <v>1.72</v>
      </c>
    </row>
    <row r="85" spans="1:6">
      <c r="A85" t="s">
        <v>184</v>
      </c>
      <c r="B85" t="s">
        <v>185</v>
      </c>
      <c r="C85">
        <v>0.371</v>
      </c>
      <c r="D85">
        <v>0.36899999999999999</v>
      </c>
      <c r="E85">
        <v>1.5649999999999999</v>
      </c>
      <c r="F85">
        <v>1.64</v>
      </c>
    </row>
    <row r="86" spans="1:6">
      <c r="A86" t="s">
        <v>186</v>
      </c>
      <c r="B86" t="s">
        <v>185</v>
      </c>
      <c r="C86">
        <v>0.36799999999999999</v>
      </c>
      <c r="D86">
        <v>0.377</v>
      </c>
      <c r="E86">
        <v>1.5780000000000001</v>
      </c>
      <c r="F86">
        <v>1.641</v>
      </c>
    </row>
    <row r="87" spans="1:6">
      <c r="A87" t="s">
        <v>187</v>
      </c>
      <c r="B87" t="s">
        <v>188</v>
      </c>
      <c r="C87">
        <v>0.36699999999999999</v>
      </c>
      <c r="D87">
        <v>0.36199999999999999</v>
      </c>
      <c r="E87">
        <v>1.5840000000000001</v>
      </c>
      <c r="F87">
        <v>1.647</v>
      </c>
    </row>
    <row r="88" spans="1:6">
      <c r="A88" t="s">
        <v>189</v>
      </c>
      <c r="B88" t="s">
        <v>188</v>
      </c>
      <c r="C88">
        <v>0.36699999999999999</v>
      </c>
      <c r="D88">
        <v>0.36699999999999999</v>
      </c>
      <c r="E88">
        <v>1.5649999999999999</v>
      </c>
      <c r="F88">
        <v>1.6459999999999999</v>
      </c>
    </row>
    <row r="89" spans="1:6">
      <c r="A89" t="s">
        <v>190</v>
      </c>
      <c r="B89" t="s">
        <v>191</v>
      </c>
      <c r="C89">
        <v>0.375</v>
      </c>
      <c r="D89">
        <v>0.374</v>
      </c>
      <c r="E89">
        <v>1.6479999999999999</v>
      </c>
      <c r="F89">
        <v>1.702</v>
      </c>
    </row>
    <row r="90" spans="1:6">
      <c r="A90" t="s">
        <v>192</v>
      </c>
      <c r="B90" t="s">
        <v>191</v>
      </c>
      <c r="C90">
        <v>0.376</v>
      </c>
      <c r="D90">
        <v>0.375</v>
      </c>
      <c r="E90">
        <v>1.6819999999999999</v>
      </c>
      <c r="F90">
        <v>1.754</v>
      </c>
    </row>
    <row r="91" spans="1:6">
      <c r="A91" t="s">
        <v>193</v>
      </c>
      <c r="B91" t="s">
        <v>194</v>
      </c>
      <c r="C91">
        <v>0.34300000000000003</v>
      </c>
      <c r="D91">
        <v>0.34499999999999997</v>
      </c>
      <c r="E91">
        <v>1.3169999999999999</v>
      </c>
      <c r="F91">
        <v>1.5389999999999999</v>
      </c>
    </row>
    <row r="92" spans="1:6">
      <c r="A92" t="s">
        <v>195</v>
      </c>
      <c r="B92" t="s">
        <v>194</v>
      </c>
      <c r="C92">
        <v>0.33600000000000002</v>
      </c>
      <c r="D92">
        <v>0.34300000000000003</v>
      </c>
      <c r="E92">
        <v>1.2949999999999999</v>
      </c>
      <c r="F92">
        <v>1.351</v>
      </c>
    </row>
    <row r="93" spans="1:6">
      <c r="A93" t="s">
        <v>196</v>
      </c>
      <c r="B93" t="s">
        <v>194</v>
      </c>
      <c r="C93">
        <v>0.34300000000000003</v>
      </c>
      <c r="D93">
        <v>0.34499999999999997</v>
      </c>
      <c r="E93">
        <v>1.3029999999999999</v>
      </c>
      <c r="F93">
        <v>1.3540000000000001</v>
      </c>
    </row>
    <row r="94" spans="1:6">
      <c r="A94" t="s">
        <v>197</v>
      </c>
      <c r="B94" t="s">
        <v>198</v>
      </c>
      <c r="C94">
        <v>0.36299999999999999</v>
      </c>
      <c r="D94">
        <v>0.36399999999999999</v>
      </c>
      <c r="E94">
        <v>1.4730000000000001</v>
      </c>
      <c r="F94">
        <v>1.577</v>
      </c>
    </row>
    <row r="95" spans="1:6">
      <c r="A95" t="s">
        <v>199</v>
      </c>
      <c r="B95" t="s">
        <v>198</v>
      </c>
      <c r="C95">
        <v>0.36599999999999999</v>
      </c>
      <c r="D95">
        <v>0.36599999999999999</v>
      </c>
      <c r="E95">
        <v>1.4470000000000001</v>
      </c>
      <c r="F95">
        <v>1.5529999999999999</v>
      </c>
    </row>
    <row r="96" spans="1:6">
      <c r="A96" t="s">
        <v>200</v>
      </c>
      <c r="B96" t="s">
        <v>201</v>
      </c>
      <c r="C96">
        <v>0.36099999999999999</v>
      </c>
      <c r="D96">
        <v>0.36499999999999999</v>
      </c>
      <c r="E96">
        <v>1.5</v>
      </c>
      <c r="F96">
        <v>1.5960000000000001</v>
      </c>
    </row>
    <row r="97" spans="1:6">
      <c r="A97" t="s">
        <v>202</v>
      </c>
      <c r="B97" t="s">
        <v>201</v>
      </c>
      <c r="C97">
        <v>0.35199999999999998</v>
      </c>
      <c r="D97">
        <v>0.35499999999999998</v>
      </c>
      <c r="E97">
        <v>1.4830000000000001</v>
      </c>
      <c r="F97">
        <v>1.5960000000000001</v>
      </c>
    </row>
    <row r="98" spans="1:6">
      <c r="A98" t="s">
        <v>203</v>
      </c>
      <c r="B98" t="s">
        <v>201</v>
      </c>
      <c r="C98">
        <v>0.36099999999999999</v>
      </c>
      <c r="D98">
        <v>0.36</v>
      </c>
      <c r="E98">
        <v>1.4890000000000001</v>
      </c>
      <c r="F98">
        <v>1.5920000000000001</v>
      </c>
    </row>
    <row r="99" spans="1:6">
      <c r="A99" t="s">
        <v>204</v>
      </c>
      <c r="B99" t="s">
        <v>205</v>
      </c>
      <c r="C99">
        <v>0.36299999999999999</v>
      </c>
      <c r="D99">
        <v>0.36</v>
      </c>
      <c r="E99">
        <v>1.413</v>
      </c>
      <c r="F99">
        <v>1.56</v>
      </c>
    </row>
    <row r="100" spans="1:6">
      <c r="A100" t="s">
        <v>206</v>
      </c>
      <c r="B100" t="s">
        <v>205</v>
      </c>
      <c r="C100">
        <v>0.36099999999999999</v>
      </c>
      <c r="D100">
        <v>0.36199999999999999</v>
      </c>
      <c r="E100">
        <v>1.375</v>
      </c>
      <c r="F100">
        <v>1.4730000000000001</v>
      </c>
    </row>
    <row r="101" spans="1:6">
      <c r="A101" t="s">
        <v>207</v>
      </c>
      <c r="B101" t="s">
        <v>205</v>
      </c>
      <c r="C101">
        <v>0.35899999999999999</v>
      </c>
      <c r="D101">
        <v>0.36499999999999999</v>
      </c>
      <c r="E101">
        <v>1.3939999999999999</v>
      </c>
      <c r="F101">
        <v>1.4710000000000001</v>
      </c>
    </row>
    <row r="102" spans="1:6">
      <c r="A102" t="s">
        <v>208</v>
      </c>
      <c r="B102" t="s">
        <v>209</v>
      </c>
      <c r="C102">
        <v>0.35399999999999998</v>
      </c>
      <c r="D102">
        <v>0.35099999999999998</v>
      </c>
      <c r="E102">
        <v>1.345</v>
      </c>
      <c r="F102">
        <v>1.5329999999999999</v>
      </c>
    </row>
    <row r="103" spans="1:6">
      <c r="A103" t="s">
        <v>210</v>
      </c>
      <c r="B103" t="s">
        <v>209</v>
      </c>
      <c r="C103">
        <v>0.35599999999999998</v>
      </c>
      <c r="D103">
        <v>0.35899999999999999</v>
      </c>
      <c r="E103">
        <v>1.383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79B1-2DFB-428C-A4FB-8D2311D2FCF1}">
  <dimension ref="A1:F166"/>
  <sheetViews>
    <sheetView workbookViewId="0">
      <selection activeCell="F3" sqref="F3"/>
    </sheetView>
  </sheetViews>
  <sheetFormatPr defaultRowHeight="14.45"/>
  <cols>
    <col min="1" max="1" width="10.7109375" bestFit="1" customWidth="1"/>
    <col min="2" max="2" width="16.28515625" customWidth="1"/>
    <col min="3" max="6" width="10.7109375" bestFit="1" customWidth="1"/>
  </cols>
  <sheetData>
    <row r="1" spans="1:6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>
      <c r="A2" t="s">
        <v>29</v>
      </c>
      <c r="B2" t="s">
        <v>28</v>
      </c>
      <c r="C2">
        <v>0.34060000000000001</v>
      </c>
      <c r="D2">
        <v>0.3407</v>
      </c>
      <c r="E2">
        <v>1.0172000000000001</v>
      </c>
      <c r="F2">
        <v>1.0185999999999999</v>
      </c>
    </row>
    <row r="3" spans="1:6">
      <c r="A3" t="s">
        <v>29</v>
      </c>
      <c r="B3" t="s">
        <v>45</v>
      </c>
      <c r="C3">
        <v>0.33300000000000002</v>
      </c>
      <c r="D3">
        <v>0.3332</v>
      </c>
      <c r="E3">
        <v>0.96189999999999998</v>
      </c>
      <c r="F3">
        <v>0.96309999999999996</v>
      </c>
    </row>
    <row r="4" spans="1:6">
      <c r="A4" t="s">
        <v>29</v>
      </c>
      <c r="B4" t="s">
        <v>46</v>
      </c>
      <c r="C4">
        <v>0.32540000000000002</v>
      </c>
      <c r="D4">
        <v>0.32550000000000001</v>
      </c>
      <c r="E4">
        <v>0.90190000000000003</v>
      </c>
      <c r="F4">
        <v>0.90300000000000002</v>
      </c>
    </row>
    <row r="5" spans="1:6">
      <c r="A5" t="s">
        <v>58</v>
      </c>
      <c r="B5" t="s">
        <v>28</v>
      </c>
      <c r="C5">
        <v>0.34150000000000003</v>
      </c>
      <c r="D5">
        <v>0.34160000000000001</v>
      </c>
      <c r="E5">
        <v>1.0241</v>
      </c>
      <c r="F5">
        <v>1.0255000000000001</v>
      </c>
    </row>
    <row r="6" spans="1:6">
      <c r="A6" t="s">
        <v>58</v>
      </c>
      <c r="B6" t="s">
        <v>45</v>
      </c>
      <c r="C6">
        <v>0.33589999999999998</v>
      </c>
      <c r="D6">
        <v>0.33600000000000002</v>
      </c>
      <c r="E6">
        <v>0.98140000000000005</v>
      </c>
      <c r="F6">
        <v>0.98270000000000002</v>
      </c>
    </row>
    <row r="7" spans="1:6">
      <c r="A7" t="s">
        <v>58</v>
      </c>
      <c r="B7" t="s">
        <v>46</v>
      </c>
      <c r="C7">
        <v>0.32629999999999998</v>
      </c>
      <c r="D7">
        <v>0.32640000000000002</v>
      </c>
      <c r="E7">
        <v>0.90669999999999995</v>
      </c>
      <c r="F7">
        <v>0.90780000000000005</v>
      </c>
    </row>
    <row r="8" spans="1:6">
      <c r="A8" t="s">
        <v>60</v>
      </c>
      <c r="B8" t="s">
        <v>28</v>
      </c>
      <c r="C8">
        <v>0.34239999999999998</v>
      </c>
      <c r="D8">
        <v>0.34260000000000002</v>
      </c>
      <c r="E8">
        <v>1.0355000000000001</v>
      </c>
      <c r="F8">
        <v>1.0369999999999999</v>
      </c>
    </row>
    <row r="9" spans="1:6">
      <c r="A9" t="s">
        <v>60</v>
      </c>
      <c r="B9" t="s">
        <v>45</v>
      </c>
      <c r="C9">
        <v>0.33700000000000002</v>
      </c>
      <c r="D9">
        <v>0.3372</v>
      </c>
      <c r="E9">
        <v>0.99450000000000005</v>
      </c>
      <c r="F9">
        <v>0.99580000000000002</v>
      </c>
    </row>
    <row r="10" spans="1:6">
      <c r="A10" t="s">
        <v>60</v>
      </c>
      <c r="B10" t="s">
        <v>46</v>
      </c>
      <c r="C10">
        <v>0.32650000000000001</v>
      </c>
      <c r="D10">
        <v>0.3266</v>
      </c>
      <c r="E10">
        <v>0.91379999999999995</v>
      </c>
      <c r="F10">
        <v>0.91490000000000005</v>
      </c>
    </row>
    <row r="11" spans="1:6">
      <c r="A11" t="s">
        <v>64</v>
      </c>
      <c r="B11" t="s">
        <v>28</v>
      </c>
      <c r="C11">
        <v>0.33900000000000002</v>
      </c>
      <c r="D11">
        <v>0.33910000000000001</v>
      </c>
      <c r="E11">
        <v>1.0145</v>
      </c>
      <c r="F11">
        <v>1.0159</v>
      </c>
    </row>
    <row r="12" spans="1:6">
      <c r="A12" t="s">
        <v>64</v>
      </c>
      <c r="B12" t="s">
        <v>45</v>
      </c>
      <c r="C12">
        <v>0.33410000000000001</v>
      </c>
      <c r="D12">
        <v>0.33429999999999999</v>
      </c>
      <c r="E12">
        <v>0.97889999999999999</v>
      </c>
      <c r="F12">
        <v>0.98019999999999996</v>
      </c>
    </row>
    <row r="13" spans="1:6">
      <c r="A13" t="s">
        <v>64</v>
      </c>
      <c r="B13" t="s">
        <v>46</v>
      </c>
      <c r="C13">
        <v>0.3251</v>
      </c>
      <c r="D13">
        <v>0.32519999999999999</v>
      </c>
      <c r="E13">
        <v>0.90759999999999996</v>
      </c>
      <c r="F13">
        <v>0.90869999999999995</v>
      </c>
    </row>
    <row r="14" spans="1:6">
      <c r="A14" t="s">
        <v>67</v>
      </c>
      <c r="B14" t="s">
        <v>28</v>
      </c>
      <c r="C14">
        <v>0.34770000000000001</v>
      </c>
      <c r="D14">
        <v>0.3478</v>
      </c>
      <c r="E14">
        <v>1.0999000000000001</v>
      </c>
      <c r="F14">
        <v>1.1015999999999999</v>
      </c>
    </row>
    <row r="15" spans="1:6">
      <c r="A15" t="s">
        <v>67</v>
      </c>
      <c r="B15" t="s">
        <v>45</v>
      </c>
      <c r="C15">
        <v>0.34210000000000002</v>
      </c>
      <c r="D15">
        <v>0.3422</v>
      </c>
      <c r="E15">
        <v>1.0523</v>
      </c>
      <c r="F15">
        <v>1.0538000000000001</v>
      </c>
    </row>
    <row r="16" spans="1:6">
      <c r="A16" t="s">
        <v>67</v>
      </c>
      <c r="B16" t="s">
        <v>46</v>
      </c>
      <c r="C16">
        <v>0.33300000000000002</v>
      </c>
      <c r="D16">
        <v>0.33310000000000001</v>
      </c>
      <c r="E16">
        <v>0.97450000000000003</v>
      </c>
      <c r="F16">
        <v>0.97570000000000001</v>
      </c>
    </row>
    <row r="17" spans="1:6">
      <c r="A17" t="s">
        <v>70</v>
      </c>
      <c r="B17" t="s">
        <v>28</v>
      </c>
      <c r="C17">
        <v>0.34739999999999999</v>
      </c>
      <c r="D17">
        <v>0.34760000000000002</v>
      </c>
      <c r="E17">
        <v>1.1012</v>
      </c>
      <c r="F17">
        <v>1.1029</v>
      </c>
    </row>
    <row r="18" spans="1:6">
      <c r="A18" t="s">
        <v>70</v>
      </c>
      <c r="B18" t="s">
        <v>45</v>
      </c>
      <c r="C18">
        <v>0.34229999999999999</v>
      </c>
      <c r="D18">
        <v>0.34239999999999998</v>
      </c>
      <c r="E18">
        <v>1.0578000000000001</v>
      </c>
      <c r="F18">
        <v>1.0592999999999999</v>
      </c>
    </row>
    <row r="19" spans="1:6">
      <c r="A19" t="s">
        <v>70</v>
      </c>
      <c r="B19" t="s">
        <v>46</v>
      </c>
      <c r="C19">
        <v>0.3342</v>
      </c>
      <c r="D19">
        <v>0.33429999999999999</v>
      </c>
      <c r="E19">
        <v>0.98570000000000002</v>
      </c>
      <c r="F19">
        <v>0.98699999999999999</v>
      </c>
    </row>
    <row r="20" spans="1:6">
      <c r="A20" t="s">
        <v>73</v>
      </c>
      <c r="B20" t="s">
        <v>28</v>
      </c>
      <c r="C20">
        <v>0.34399999999999997</v>
      </c>
      <c r="D20">
        <v>0.34420000000000001</v>
      </c>
      <c r="E20">
        <v>1.0713999999999999</v>
      </c>
      <c r="F20">
        <v>1.073</v>
      </c>
    </row>
    <row r="21" spans="1:6">
      <c r="A21" t="s">
        <v>73</v>
      </c>
      <c r="B21" t="s">
        <v>45</v>
      </c>
      <c r="C21">
        <v>0.33900000000000002</v>
      </c>
      <c r="D21">
        <v>0.3392</v>
      </c>
      <c r="E21">
        <v>1.0301</v>
      </c>
      <c r="F21">
        <v>1.0315000000000001</v>
      </c>
    </row>
    <row r="22" spans="1:6">
      <c r="A22" t="s">
        <v>73</v>
      </c>
      <c r="B22" t="s">
        <v>46</v>
      </c>
      <c r="C22">
        <v>0.32969999999999999</v>
      </c>
      <c r="D22">
        <v>0.32979999999999998</v>
      </c>
      <c r="E22">
        <v>0.94989999999999997</v>
      </c>
      <c r="F22">
        <v>0.95109999999999995</v>
      </c>
    </row>
    <row r="23" spans="1:6">
      <c r="A23" t="s">
        <v>75</v>
      </c>
      <c r="B23" t="s">
        <v>28</v>
      </c>
      <c r="C23">
        <v>0.34110000000000001</v>
      </c>
      <c r="D23">
        <v>0.3412</v>
      </c>
      <c r="E23">
        <v>1.0282</v>
      </c>
      <c r="F23">
        <v>1.0296000000000001</v>
      </c>
    </row>
    <row r="24" spans="1:6">
      <c r="A24" t="s">
        <v>75</v>
      </c>
      <c r="B24" t="s">
        <v>45</v>
      </c>
      <c r="C24">
        <v>0.33539999999999998</v>
      </c>
      <c r="D24">
        <v>0.33550000000000002</v>
      </c>
      <c r="E24">
        <v>0.98699999999999999</v>
      </c>
      <c r="F24">
        <v>0.98829999999999996</v>
      </c>
    </row>
    <row r="25" spans="1:6">
      <c r="A25" t="s">
        <v>75</v>
      </c>
      <c r="B25" t="s">
        <v>46</v>
      </c>
      <c r="C25">
        <v>0.32629999999999998</v>
      </c>
      <c r="D25">
        <v>0.32640000000000002</v>
      </c>
      <c r="E25">
        <v>0.91720000000000002</v>
      </c>
      <c r="F25">
        <v>0.91830000000000001</v>
      </c>
    </row>
    <row r="26" spans="1:6">
      <c r="A26" t="s">
        <v>78</v>
      </c>
      <c r="B26" t="s">
        <v>28</v>
      </c>
      <c r="C26">
        <v>0.33389999999999997</v>
      </c>
      <c r="D26">
        <v>0.33400000000000002</v>
      </c>
      <c r="E26">
        <v>0.97450000000000003</v>
      </c>
      <c r="F26">
        <v>0.9758</v>
      </c>
    </row>
    <row r="27" spans="1:6">
      <c r="A27" t="s">
        <v>78</v>
      </c>
      <c r="B27" t="s">
        <v>45</v>
      </c>
      <c r="C27">
        <v>0.33090000000000003</v>
      </c>
      <c r="D27">
        <v>0.33100000000000002</v>
      </c>
      <c r="E27">
        <v>0.95240000000000002</v>
      </c>
      <c r="F27">
        <v>0.9536</v>
      </c>
    </row>
    <row r="28" spans="1:6">
      <c r="A28" t="s">
        <v>78</v>
      </c>
      <c r="B28" t="s">
        <v>46</v>
      </c>
      <c r="C28">
        <v>0.32469999999999999</v>
      </c>
      <c r="D28">
        <v>0.32479999999999998</v>
      </c>
      <c r="E28">
        <v>0.89900000000000002</v>
      </c>
      <c r="F28">
        <v>0.90010000000000001</v>
      </c>
    </row>
    <row r="29" spans="1:6">
      <c r="A29" t="s">
        <v>81</v>
      </c>
      <c r="B29" t="s">
        <v>28</v>
      </c>
      <c r="C29">
        <v>0.33660000000000001</v>
      </c>
      <c r="D29">
        <v>0.33679999999999999</v>
      </c>
      <c r="E29">
        <v>0.98270000000000002</v>
      </c>
      <c r="F29">
        <v>0.98399999999999999</v>
      </c>
    </row>
    <row r="30" spans="1:6">
      <c r="A30" t="s">
        <v>81</v>
      </c>
      <c r="B30" t="s">
        <v>45</v>
      </c>
      <c r="C30">
        <v>0.33239999999999997</v>
      </c>
      <c r="D30">
        <v>0.33260000000000001</v>
      </c>
      <c r="E30">
        <v>0.94899999999999995</v>
      </c>
      <c r="F30">
        <v>0.95020000000000004</v>
      </c>
    </row>
    <row r="31" spans="1:6">
      <c r="A31" t="s">
        <v>81</v>
      </c>
      <c r="B31" t="s">
        <v>46</v>
      </c>
      <c r="C31">
        <v>0.32340000000000002</v>
      </c>
      <c r="D31">
        <v>0.32350000000000001</v>
      </c>
      <c r="E31">
        <v>0.87460000000000004</v>
      </c>
      <c r="F31">
        <v>0.87560000000000004</v>
      </c>
    </row>
    <row r="32" spans="1:6">
      <c r="A32" t="s">
        <v>83</v>
      </c>
      <c r="B32" t="s">
        <v>28</v>
      </c>
      <c r="C32">
        <v>0.3528</v>
      </c>
      <c r="D32">
        <v>0.35299999999999998</v>
      </c>
      <c r="E32">
        <v>1.139</v>
      </c>
      <c r="F32">
        <v>1.1408</v>
      </c>
    </row>
    <row r="33" spans="1:6">
      <c r="A33" t="s">
        <v>83</v>
      </c>
      <c r="B33" t="s">
        <v>45</v>
      </c>
      <c r="C33">
        <v>0.35</v>
      </c>
      <c r="D33">
        <v>0.35010000000000002</v>
      </c>
      <c r="E33">
        <v>1.1106</v>
      </c>
      <c r="F33">
        <v>1.1123000000000001</v>
      </c>
    </row>
    <row r="34" spans="1:6">
      <c r="A34" t="s">
        <v>83</v>
      </c>
      <c r="B34" t="s">
        <v>46</v>
      </c>
      <c r="C34">
        <v>0.33289999999999997</v>
      </c>
      <c r="D34">
        <v>0.33310000000000001</v>
      </c>
      <c r="E34">
        <v>0.9597</v>
      </c>
      <c r="F34">
        <v>0.96079999999999999</v>
      </c>
    </row>
    <row r="35" spans="1:6">
      <c r="A35" t="s">
        <v>85</v>
      </c>
      <c r="B35" t="s">
        <v>28</v>
      </c>
      <c r="C35">
        <v>0.35560000000000003</v>
      </c>
      <c r="D35">
        <v>0.35580000000000001</v>
      </c>
      <c r="E35">
        <v>1.1669</v>
      </c>
      <c r="F35">
        <v>1.1688000000000001</v>
      </c>
    </row>
    <row r="36" spans="1:6">
      <c r="A36" t="s">
        <v>85</v>
      </c>
      <c r="B36" t="s">
        <v>45</v>
      </c>
      <c r="C36">
        <v>0.35189999999999999</v>
      </c>
      <c r="D36">
        <v>0.35210000000000002</v>
      </c>
      <c r="E36">
        <v>1.1288</v>
      </c>
      <c r="F36">
        <v>1.1306</v>
      </c>
    </row>
    <row r="37" spans="1:6">
      <c r="A37" t="s">
        <v>85</v>
      </c>
      <c r="B37" t="s">
        <v>46</v>
      </c>
      <c r="C37">
        <v>0.33169999999999999</v>
      </c>
      <c r="D37">
        <v>0.33179999999999998</v>
      </c>
      <c r="E37">
        <v>0.95299999999999996</v>
      </c>
      <c r="F37">
        <v>0.95409999999999995</v>
      </c>
    </row>
    <row r="38" spans="1:6">
      <c r="A38" t="s">
        <v>87</v>
      </c>
      <c r="B38" t="s">
        <v>28</v>
      </c>
      <c r="C38">
        <v>0.35139999999999999</v>
      </c>
      <c r="D38">
        <v>0.35149999999999998</v>
      </c>
      <c r="E38">
        <v>1.1264000000000001</v>
      </c>
      <c r="F38">
        <v>1.1282000000000001</v>
      </c>
    </row>
    <row r="39" spans="1:6">
      <c r="A39" t="s">
        <v>87</v>
      </c>
      <c r="B39" t="s">
        <v>45</v>
      </c>
      <c r="C39">
        <v>0.34229999999999999</v>
      </c>
      <c r="D39">
        <v>0.34250000000000003</v>
      </c>
      <c r="E39">
        <v>1.046</v>
      </c>
      <c r="F39">
        <v>1.0475000000000001</v>
      </c>
    </row>
    <row r="40" spans="1:6">
      <c r="A40" t="s">
        <v>87</v>
      </c>
      <c r="B40" t="s">
        <v>46</v>
      </c>
      <c r="C40">
        <v>0.33210000000000001</v>
      </c>
      <c r="D40">
        <v>0.3322</v>
      </c>
      <c r="E40">
        <v>0.9607</v>
      </c>
      <c r="F40">
        <v>0.96189999999999998</v>
      </c>
    </row>
    <row r="41" spans="1:6">
      <c r="A41" t="s">
        <v>89</v>
      </c>
      <c r="B41" t="s">
        <v>28</v>
      </c>
      <c r="C41">
        <v>0.3513</v>
      </c>
      <c r="D41">
        <v>0.35149999999999998</v>
      </c>
      <c r="E41">
        <v>1.1308</v>
      </c>
      <c r="F41">
        <v>1.1326000000000001</v>
      </c>
    </row>
    <row r="42" spans="1:6">
      <c r="A42" t="s">
        <v>89</v>
      </c>
      <c r="B42" t="s">
        <v>45</v>
      </c>
      <c r="C42">
        <v>0.34749999999999998</v>
      </c>
      <c r="D42">
        <v>0.34770000000000001</v>
      </c>
      <c r="E42">
        <v>1.0963000000000001</v>
      </c>
      <c r="F42">
        <v>1.0979000000000001</v>
      </c>
    </row>
    <row r="43" spans="1:6">
      <c r="A43" t="s">
        <v>89</v>
      </c>
      <c r="B43" t="s">
        <v>46</v>
      </c>
      <c r="C43">
        <v>0.3296</v>
      </c>
      <c r="D43">
        <v>0.32979999999999998</v>
      </c>
      <c r="E43">
        <v>0.95299999999999996</v>
      </c>
      <c r="F43">
        <v>0.95420000000000005</v>
      </c>
    </row>
    <row r="44" spans="1:6">
      <c r="A44" t="s">
        <v>91</v>
      </c>
      <c r="B44" t="s">
        <v>28</v>
      </c>
      <c r="C44">
        <v>0.3533</v>
      </c>
      <c r="D44">
        <v>0.35339999999999999</v>
      </c>
      <c r="E44">
        <v>1.1704000000000001</v>
      </c>
      <c r="F44">
        <v>1.1724000000000001</v>
      </c>
    </row>
    <row r="45" spans="1:6">
      <c r="A45" t="s">
        <v>91</v>
      </c>
      <c r="B45" t="s">
        <v>45</v>
      </c>
      <c r="C45">
        <v>0.34789999999999999</v>
      </c>
      <c r="D45">
        <v>0.34799999999999998</v>
      </c>
      <c r="E45">
        <v>1.119</v>
      </c>
      <c r="F45">
        <v>1.1207</v>
      </c>
    </row>
    <row r="46" spans="1:6">
      <c r="A46" t="s">
        <v>91</v>
      </c>
      <c r="B46" t="s">
        <v>46</v>
      </c>
      <c r="C46">
        <v>0.3342</v>
      </c>
      <c r="D46">
        <v>0.33439999999999998</v>
      </c>
      <c r="E46">
        <v>1.0005999999999999</v>
      </c>
      <c r="F46">
        <v>1.0019</v>
      </c>
    </row>
    <row r="47" spans="1:6">
      <c r="A47" t="s">
        <v>93</v>
      </c>
      <c r="B47" t="s">
        <v>28</v>
      </c>
      <c r="C47">
        <v>0.35659999999999997</v>
      </c>
      <c r="D47">
        <v>0.35680000000000001</v>
      </c>
      <c r="E47">
        <v>1.2417</v>
      </c>
      <c r="F47">
        <v>1.244</v>
      </c>
    </row>
    <row r="48" spans="1:6">
      <c r="A48" t="s">
        <v>93</v>
      </c>
      <c r="B48" t="s">
        <v>45</v>
      </c>
      <c r="C48">
        <v>0.34710000000000002</v>
      </c>
      <c r="D48">
        <v>0.3473</v>
      </c>
      <c r="E48">
        <v>1.1469</v>
      </c>
      <c r="F48">
        <v>1.1488</v>
      </c>
    </row>
    <row r="49" spans="1:6">
      <c r="A49" t="s">
        <v>93</v>
      </c>
      <c r="B49" t="s">
        <v>46</v>
      </c>
      <c r="C49">
        <v>0.33779999999999999</v>
      </c>
      <c r="D49">
        <v>0.33800000000000002</v>
      </c>
      <c r="E49">
        <v>1.0605</v>
      </c>
      <c r="F49">
        <v>1.0620000000000001</v>
      </c>
    </row>
    <row r="50" spans="1:6">
      <c r="A50" t="s">
        <v>96</v>
      </c>
      <c r="B50" t="s">
        <v>28</v>
      </c>
      <c r="C50">
        <v>0.35599999999999998</v>
      </c>
      <c r="D50">
        <v>0.35620000000000002</v>
      </c>
      <c r="E50">
        <v>1.234</v>
      </c>
      <c r="F50">
        <v>1.2362</v>
      </c>
    </row>
    <row r="51" spans="1:6">
      <c r="A51" t="s">
        <v>96</v>
      </c>
      <c r="B51" t="s">
        <v>45</v>
      </c>
      <c r="C51">
        <v>0.35070000000000001</v>
      </c>
      <c r="D51">
        <v>0.3508</v>
      </c>
      <c r="E51">
        <v>1.18</v>
      </c>
      <c r="F51">
        <v>1.1819999999999999</v>
      </c>
    </row>
    <row r="52" spans="1:6">
      <c r="A52" t="s">
        <v>96</v>
      </c>
      <c r="B52" t="s">
        <v>46</v>
      </c>
      <c r="C52">
        <v>0.3407</v>
      </c>
      <c r="D52">
        <v>0.34089999999999998</v>
      </c>
      <c r="E52">
        <v>1.0844</v>
      </c>
      <c r="F52">
        <v>1.0861000000000001</v>
      </c>
    </row>
    <row r="53" spans="1:6">
      <c r="A53" t="s">
        <v>99</v>
      </c>
      <c r="B53" t="s">
        <v>28</v>
      </c>
      <c r="C53">
        <v>0.3488</v>
      </c>
      <c r="D53">
        <v>0.34899999999999998</v>
      </c>
      <c r="E53">
        <v>1.1334</v>
      </c>
      <c r="F53">
        <v>1.1352</v>
      </c>
    </row>
    <row r="54" spans="1:6">
      <c r="A54" t="s">
        <v>99</v>
      </c>
      <c r="B54" t="s">
        <v>45</v>
      </c>
      <c r="C54">
        <v>0.34279999999999999</v>
      </c>
      <c r="D54">
        <v>0.34289999999999998</v>
      </c>
      <c r="E54">
        <v>1.0813999999999999</v>
      </c>
      <c r="F54">
        <v>1.083</v>
      </c>
    </row>
    <row r="55" spans="1:6">
      <c r="A55" t="s">
        <v>99</v>
      </c>
      <c r="B55" t="s">
        <v>46</v>
      </c>
      <c r="C55">
        <v>0.33310000000000001</v>
      </c>
      <c r="D55">
        <v>0.3332</v>
      </c>
      <c r="E55">
        <v>0.99839999999999995</v>
      </c>
      <c r="F55">
        <v>0.99970000000000003</v>
      </c>
    </row>
    <row r="56" spans="1:6">
      <c r="A56" t="s">
        <v>102</v>
      </c>
      <c r="B56" t="s">
        <v>28</v>
      </c>
      <c r="C56">
        <v>0.34370000000000001</v>
      </c>
      <c r="D56">
        <v>0.34379999999999999</v>
      </c>
      <c r="E56">
        <v>1.0661</v>
      </c>
      <c r="F56">
        <v>1.0677000000000001</v>
      </c>
    </row>
    <row r="57" spans="1:6">
      <c r="A57" t="s">
        <v>102</v>
      </c>
      <c r="B57" t="s">
        <v>45</v>
      </c>
      <c r="C57">
        <v>0.33800000000000002</v>
      </c>
      <c r="D57">
        <v>0.33810000000000001</v>
      </c>
      <c r="E57">
        <v>1.0212000000000001</v>
      </c>
      <c r="F57">
        <v>1.0226</v>
      </c>
    </row>
    <row r="58" spans="1:6">
      <c r="A58" t="s">
        <v>102</v>
      </c>
      <c r="B58" t="s">
        <v>46</v>
      </c>
      <c r="C58">
        <v>0.32879999999999998</v>
      </c>
      <c r="D58">
        <v>0.32890000000000003</v>
      </c>
      <c r="E58">
        <v>0.94589999999999996</v>
      </c>
      <c r="F58">
        <v>0.94699999999999995</v>
      </c>
    </row>
    <row r="59" spans="1:6">
      <c r="A59" t="s">
        <v>105</v>
      </c>
      <c r="B59" t="s">
        <v>28</v>
      </c>
      <c r="C59">
        <v>0.33839999999999998</v>
      </c>
      <c r="D59">
        <v>0.33850000000000002</v>
      </c>
      <c r="E59">
        <v>1.0111000000000001</v>
      </c>
      <c r="F59">
        <v>1.0124</v>
      </c>
    </row>
    <row r="60" spans="1:6">
      <c r="A60" t="s">
        <v>105</v>
      </c>
      <c r="B60" t="s">
        <v>45</v>
      </c>
      <c r="C60">
        <v>0.3337</v>
      </c>
      <c r="D60">
        <v>0.33379999999999999</v>
      </c>
      <c r="E60">
        <v>0.97640000000000005</v>
      </c>
      <c r="F60">
        <v>0.97760000000000002</v>
      </c>
    </row>
    <row r="61" spans="1:6">
      <c r="A61" t="s">
        <v>105</v>
      </c>
      <c r="B61" t="s">
        <v>46</v>
      </c>
      <c r="C61">
        <v>0.3246</v>
      </c>
      <c r="D61">
        <v>0.32469999999999999</v>
      </c>
      <c r="E61">
        <v>0.90469999999999995</v>
      </c>
      <c r="F61">
        <v>0.90580000000000005</v>
      </c>
    </row>
    <row r="62" spans="1:6">
      <c r="A62" t="s">
        <v>108</v>
      </c>
      <c r="B62" t="s">
        <v>28</v>
      </c>
      <c r="C62">
        <v>0.35649999999999998</v>
      </c>
      <c r="D62">
        <v>0.35670000000000002</v>
      </c>
      <c r="E62">
        <v>1.2023999999999999</v>
      </c>
      <c r="F62">
        <v>1.2043999999999999</v>
      </c>
    </row>
    <row r="63" spans="1:6">
      <c r="A63" t="s">
        <v>108</v>
      </c>
      <c r="B63" t="s">
        <v>45</v>
      </c>
      <c r="C63">
        <v>0.34560000000000002</v>
      </c>
      <c r="D63">
        <v>0.34570000000000001</v>
      </c>
      <c r="E63">
        <v>1.0931999999999999</v>
      </c>
      <c r="F63">
        <v>1.0949</v>
      </c>
    </row>
    <row r="64" spans="1:6">
      <c r="A64" t="s">
        <v>108</v>
      </c>
      <c r="B64" t="s">
        <v>46</v>
      </c>
      <c r="C64">
        <v>0.33689999999999998</v>
      </c>
      <c r="D64">
        <v>0.33710000000000001</v>
      </c>
      <c r="E64">
        <v>1.0124</v>
      </c>
      <c r="F64">
        <v>1.0138</v>
      </c>
    </row>
    <row r="65" spans="1:6">
      <c r="A65" t="s">
        <v>110</v>
      </c>
      <c r="B65" t="s">
        <v>28</v>
      </c>
      <c r="C65">
        <v>0.34989999999999999</v>
      </c>
      <c r="D65">
        <v>0.35010000000000002</v>
      </c>
      <c r="E65">
        <v>1.1143000000000001</v>
      </c>
      <c r="F65">
        <v>1.1160000000000001</v>
      </c>
    </row>
    <row r="66" spans="1:6">
      <c r="A66" t="s">
        <v>110</v>
      </c>
      <c r="B66" t="s">
        <v>45</v>
      </c>
      <c r="C66">
        <v>0.34379999999999999</v>
      </c>
      <c r="D66">
        <v>0.34389999999999998</v>
      </c>
      <c r="E66">
        <v>1.0587</v>
      </c>
      <c r="F66">
        <v>1.0602</v>
      </c>
    </row>
    <row r="67" spans="1:6">
      <c r="A67" t="s">
        <v>110</v>
      </c>
      <c r="B67" t="s">
        <v>46</v>
      </c>
      <c r="C67">
        <v>0.33529999999999999</v>
      </c>
      <c r="D67">
        <v>0.33550000000000002</v>
      </c>
      <c r="E67">
        <v>0.98260000000000003</v>
      </c>
      <c r="F67">
        <v>0.98380000000000001</v>
      </c>
    </row>
    <row r="68" spans="1:6">
      <c r="A68" t="s">
        <v>113</v>
      </c>
      <c r="B68" t="s">
        <v>28</v>
      </c>
      <c r="C68">
        <v>0.35249999999999998</v>
      </c>
      <c r="D68">
        <v>0.35270000000000001</v>
      </c>
      <c r="E68">
        <v>1.159</v>
      </c>
      <c r="F68">
        <v>1.1608000000000001</v>
      </c>
    </row>
    <row r="69" spans="1:6">
      <c r="A69" t="s">
        <v>113</v>
      </c>
      <c r="B69" t="s">
        <v>45</v>
      </c>
      <c r="C69">
        <v>0.34699999999999998</v>
      </c>
      <c r="D69">
        <v>0.34710000000000002</v>
      </c>
      <c r="E69">
        <v>1.1042000000000001</v>
      </c>
      <c r="F69">
        <v>1.1059000000000001</v>
      </c>
    </row>
    <row r="70" spans="1:6">
      <c r="A70" t="s">
        <v>113</v>
      </c>
      <c r="B70" t="s">
        <v>46</v>
      </c>
      <c r="C70">
        <v>0.3367</v>
      </c>
      <c r="D70">
        <v>0.33679999999999999</v>
      </c>
      <c r="E70">
        <v>1.0086999999999999</v>
      </c>
      <c r="F70">
        <v>1.01</v>
      </c>
    </row>
    <row r="71" spans="1:6">
      <c r="A71" t="s">
        <v>115</v>
      </c>
      <c r="B71" t="s">
        <v>28</v>
      </c>
      <c r="C71">
        <v>0.36320000000000002</v>
      </c>
      <c r="D71">
        <v>0.3634</v>
      </c>
      <c r="E71">
        <v>1.2884</v>
      </c>
      <c r="F71">
        <v>1.2907999999999999</v>
      </c>
    </row>
    <row r="72" spans="1:6">
      <c r="A72" t="s">
        <v>115</v>
      </c>
      <c r="B72" t="s">
        <v>45</v>
      </c>
      <c r="C72">
        <v>0.35249999999999998</v>
      </c>
      <c r="D72">
        <v>0.35270000000000001</v>
      </c>
      <c r="E72">
        <v>1.1666000000000001</v>
      </c>
      <c r="F72">
        <v>1.1685000000000001</v>
      </c>
    </row>
    <row r="73" spans="1:6">
      <c r="A73" t="s">
        <v>115</v>
      </c>
      <c r="B73" t="s">
        <v>46</v>
      </c>
      <c r="C73">
        <v>0.33729999999999999</v>
      </c>
      <c r="D73">
        <v>0.33750000000000002</v>
      </c>
      <c r="E73">
        <v>1.0254000000000001</v>
      </c>
      <c r="F73">
        <v>1.0267999999999999</v>
      </c>
    </row>
    <row r="74" spans="1:6">
      <c r="A74" t="s">
        <v>117</v>
      </c>
      <c r="B74" t="s">
        <v>28</v>
      </c>
      <c r="C74">
        <v>0.35799999999999998</v>
      </c>
      <c r="D74">
        <v>0.35809999999999997</v>
      </c>
      <c r="E74">
        <v>1.2555000000000001</v>
      </c>
      <c r="F74">
        <v>1.2578</v>
      </c>
    </row>
    <row r="75" spans="1:6">
      <c r="A75" t="s">
        <v>117</v>
      </c>
      <c r="B75" t="s">
        <v>45</v>
      </c>
      <c r="C75">
        <v>0.3503</v>
      </c>
      <c r="D75">
        <v>0.35039999999999999</v>
      </c>
      <c r="E75">
        <v>1.1748000000000001</v>
      </c>
      <c r="F75">
        <v>1.1768000000000001</v>
      </c>
    </row>
    <row r="76" spans="1:6">
      <c r="A76" t="s">
        <v>117</v>
      </c>
      <c r="B76" t="s">
        <v>46</v>
      </c>
      <c r="C76">
        <v>0.33889999999999998</v>
      </c>
      <c r="D76">
        <v>0.33900000000000002</v>
      </c>
      <c r="E76">
        <v>1.0671999999999999</v>
      </c>
      <c r="F76">
        <v>1.0688</v>
      </c>
    </row>
    <row r="77" spans="1:6">
      <c r="A77" t="s">
        <v>120</v>
      </c>
      <c r="B77" t="s">
        <v>28</v>
      </c>
      <c r="C77">
        <v>0.36649999999999999</v>
      </c>
      <c r="D77">
        <v>0.36670000000000003</v>
      </c>
      <c r="E77">
        <v>1.3551</v>
      </c>
      <c r="F77">
        <v>1.3580000000000001</v>
      </c>
    </row>
    <row r="78" spans="1:6">
      <c r="A78" t="s">
        <v>120</v>
      </c>
      <c r="B78" t="s">
        <v>45</v>
      </c>
      <c r="C78">
        <v>0.3634</v>
      </c>
      <c r="D78">
        <v>0.36359999999999998</v>
      </c>
      <c r="E78">
        <v>1.3166</v>
      </c>
      <c r="F78">
        <v>1.3192999999999999</v>
      </c>
    </row>
    <row r="79" spans="1:6">
      <c r="A79" t="s">
        <v>120</v>
      </c>
      <c r="B79" t="s">
        <v>46</v>
      </c>
      <c r="C79">
        <v>0.33989999999999998</v>
      </c>
      <c r="D79">
        <v>0.34010000000000001</v>
      </c>
      <c r="E79">
        <v>1.0738000000000001</v>
      </c>
      <c r="F79">
        <v>1.0753999999999999</v>
      </c>
    </row>
    <row r="80" spans="1:6">
      <c r="A80" t="s">
        <v>123</v>
      </c>
      <c r="B80" t="s">
        <v>28</v>
      </c>
      <c r="C80">
        <v>0.36020000000000002</v>
      </c>
      <c r="D80">
        <v>0.3604</v>
      </c>
      <c r="E80">
        <v>1.2808999999999999</v>
      </c>
      <c r="F80">
        <v>1.2834000000000001</v>
      </c>
    </row>
    <row r="81" spans="1:6">
      <c r="A81" t="s">
        <v>123</v>
      </c>
      <c r="B81" t="s">
        <v>45</v>
      </c>
      <c r="C81">
        <v>0.35770000000000002</v>
      </c>
      <c r="D81">
        <v>0.3579</v>
      </c>
      <c r="E81">
        <v>1.252</v>
      </c>
      <c r="F81">
        <v>1.2543</v>
      </c>
    </row>
    <row r="82" spans="1:6">
      <c r="A82" t="s">
        <v>123</v>
      </c>
      <c r="B82" t="s">
        <v>46</v>
      </c>
      <c r="C82">
        <v>0.33839999999999998</v>
      </c>
      <c r="D82">
        <v>0.33860000000000001</v>
      </c>
      <c r="E82">
        <v>1.0611999999999999</v>
      </c>
      <c r="F82">
        <v>1.0628</v>
      </c>
    </row>
    <row r="83" spans="1:6">
      <c r="A83" t="s">
        <v>125</v>
      </c>
      <c r="B83" t="s">
        <v>28</v>
      </c>
      <c r="C83">
        <v>0.35520000000000002</v>
      </c>
      <c r="D83">
        <v>0.35539999999999999</v>
      </c>
      <c r="E83">
        <v>1.2228000000000001</v>
      </c>
      <c r="F83">
        <v>1.2250000000000001</v>
      </c>
    </row>
    <row r="84" spans="1:6">
      <c r="A84" t="s">
        <v>125</v>
      </c>
      <c r="B84" t="s">
        <v>45</v>
      </c>
      <c r="C84">
        <v>0.3503</v>
      </c>
      <c r="D84">
        <v>0.35039999999999999</v>
      </c>
      <c r="E84">
        <v>1.1722999999999999</v>
      </c>
      <c r="F84">
        <v>1.1742999999999999</v>
      </c>
    </row>
    <row r="85" spans="1:6">
      <c r="A85" t="s">
        <v>125</v>
      </c>
      <c r="B85" t="s">
        <v>46</v>
      </c>
      <c r="C85">
        <v>0.3412</v>
      </c>
      <c r="D85">
        <v>0.34139999999999998</v>
      </c>
      <c r="E85">
        <v>1.0835999999999999</v>
      </c>
      <c r="F85">
        <v>1.0851999999999999</v>
      </c>
    </row>
    <row r="86" spans="1:6">
      <c r="A86" t="s">
        <v>127</v>
      </c>
      <c r="B86" t="s">
        <v>28</v>
      </c>
      <c r="C86">
        <v>0.35310000000000002</v>
      </c>
      <c r="D86">
        <v>0.3533</v>
      </c>
      <c r="E86">
        <v>1.1827000000000001</v>
      </c>
      <c r="F86">
        <v>1.1847000000000001</v>
      </c>
    </row>
    <row r="87" spans="1:6">
      <c r="A87" t="s">
        <v>127</v>
      </c>
      <c r="B87" t="s">
        <v>45</v>
      </c>
      <c r="C87">
        <v>0.34760000000000002</v>
      </c>
      <c r="D87">
        <v>0.34770000000000001</v>
      </c>
      <c r="E87">
        <v>1.1294</v>
      </c>
      <c r="F87">
        <v>1.1312</v>
      </c>
    </row>
    <row r="88" spans="1:6">
      <c r="A88" t="s">
        <v>127</v>
      </c>
      <c r="B88" t="s">
        <v>46</v>
      </c>
      <c r="C88">
        <v>0.33850000000000002</v>
      </c>
      <c r="D88">
        <v>0.3387</v>
      </c>
      <c r="E88">
        <v>1.0448999999999999</v>
      </c>
      <c r="F88">
        <v>1.0464</v>
      </c>
    </row>
    <row r="89" spans="1:6">
      <c r="A89" t="s">
        <v>130</v>
      </c>
      <c r="B89" t="s">
        <v>28</v>
      </c>
      <c r="C89">
        <v>0.34970000000000001</v>
      </c>
      <c r="D89">
        <v>0.3498</v>
      </c>
      <c r="E89">
        <v>1.1408</v>
      </c>
      <c r="F89">
        <v>1.1426000000000001</v>
      </c>
    </row>
    <row r="90" spans="1:6">
      <c r="A90" t="s">
        <v>130</v>
      </c>
      <c r="B90" t="s">
        <v>45</v>
      </c>
      <c r="C90">
        <v>0.34429999999999999</v>
      </c>
      <c r="D90">
        <v>0.34449999999999997</v>
      </c>
      <c r="E90">
        <v>1.0929</v>
      </c>
      <c r="F90">
        <v>1.0946</v>
      </c>
    </row>
    <row r="91" spans="1:6">
      <c r="A91" t="s">
        <v>130</v>
      </c>
      <c r="B91" t="s">
        <v>46</v>
      </c>
      <c r="C91">
        <v>0.33600000000000002</v>
      </c>
      <c r="D91">
        <v>0.33610000000000001</v>
      </c>
      <c r="E91">
        <v>1.0165</v>
      </c>
      <c r="F91">
        <v>1.0178</v>
      </c>
    </row>
    <row r="92" spans="1:6">
      <c r="A92" t="s">
        <v>133</v>
      </c>
      <c r="B92" t="s">
        <v>28</v>
      </c>
      <c r="C92">
        <v>0.3659</v>
      </c>
      <c r="D92">
        <v>0.36609999999999998</v>
      </c>
      <c r="E92">
        <v>1.3232999999999999</v>
      </c>
      <c r="F92">
        <v>1.3259000000000001</v>
      </c>
    </row>
    <row r="93" spans="1:6">
      <c r="A93" t="s">
        <v>133</v>
      </c>
      <c r="B93" t="s">
        <v>45</v>
      </c>
      <c r="C93">
        <v>0.3589</v>
      </c>
      <c r="D93">
        <v>0.35909999999999997</v>
      </c>
      <c r="E93">
        <v>1.2363</v>
      </c>
      <c r="F93">
        <v>1.2384999999999999</v>
      </c>
    </row>
    <row r="94" spans="1:6">
      <c r="A94" t="s">
        <v>133</v>
      </c>
      <c r="B94" t="s">
        <v>46</v>
      </c>
      <c r="C94">
        <v>0.3392</v>
      </c>
      <c r="D94">
        <v>0.33929999999999999</v>
      </c>
      <c r="E94">
        <v>1.0382</v>
      </c>
      <c r="F94">
        <v>1.0397000000000001</v>
      </c>
    </row>
    <row r="95" spans="1:6">
      <c r="A95" t="s">
        <v>137</v>
      </c>
      <c r="B95" t="s">
        <v>28</v>
      </c>
      <c r="C95">
        <v>0.36009999999999998</v>
      </c>
      <c r="D95">
        <v>0.36020000000000002</v>
      </c>
      <c r="E95">
        <v>1.2494000000000001</v>
      </c>
      <c r="F95">
        <v>1.2516</v>
      </c>
    </row>
    <row r="96" spans="1:6">
      <c r="A96" t="s">
        <v>137</v>
      </c>
      <c r="B96" t="s">
        <v>45</v>
      </c>
      <c r="C96">
        <v>0.35139999999999999</v>
      </c>
      <c r="D96">
        <v>0.35160000000000002</v>
      </c>
      <c r="E96">
        <v>1.1551</v>
      </c>
      <c r="F96">
        <v>1.157</v>
      </c>
    </row>
    <row r="97" spans="1:6">
      <c r="A97" t="s">
        <v>137</v>
      </c>
      <c r="B97" t="s">
        <v>46</v>
      </c>
      <c r="C97">
        <v>0.33860000000000001</v>
      </c>
      <c r="D97">
        <v>0.3387</v>
      </c>
      <c r="E97">
        <v>1.0333000000000001</v>
      </c>
      <c r="F97">
        <v>1.0347</v>
      </c>
    </row>
    <row r="98" spans="1:6">
      <c r="A98" t="s">
        <v>140</v>
      </c>
      <c r="B98" t="s">
        <v>28</v>
      </c>
      <c r="C98">
        <v>0.36130000000000001</v>
      </c>
      <c r="D98">
        <v>0.36149999999999999</v>
      </c>
      <c r="E98">
        <v>1.2602</v>
      </c>
      <c r="F98">
        <v>1.2625</v>
      </c>
    </row>
    <row r="99" spans="1:6">
      <c r="A99" t="s">
        <v>140</v>
      </c>
      <c r="B99" t="s">
        <v>45</v>
      </c>
      <c r="C99">
        <v>0.35870000000000002</v>
      </c>
      <c r="D99">
        <v>0.3589</v>
      </c>
      <c r="E99">
        <v>1.2295</v>
      </c>
      <c r="F99">
        <v>1.2316</v>
      </c>
    </row>
    <row r="100" spans="1:6">
      <c r="A100" t="s">
        <v>140</v>
      </c>
      <c r="B100" t="s">
        <v>46</v>
      </c>
      <c r="C100">
        <v>0.33629999999999999</v>
      </c>
      <c r="D100">
        <v>0.33639999999999998</v>
      </c>
      <c r="E100">
        <v>1.0125999999999999</v>
      </c>
      <c r="F100">
        <v>1.0139</v>
      </c>
    </row>
    <row r="101" spans="1:6">
      <c r="A101" t="s">
        <v>145</v>
      </c>
      <c r="B101" t="s">
        <v>28</v>
      </c>
      <c r="C101">
        <v>0.37190000000000001</v>
      </c>
      <c r="D101">
        <v>0.37209999999999999</v>
      </c>
      <c r="E101">
        <v>1.4375</v>
      </c>
      <c r="F101">
        <v>1.4408000000000001</v>
      </c>
    </row>
    <row r="102" spans="1:6">
      <c r="A102" t="s">
        <v>145</v>
      </c>
      <c r="B102" t="s">
        <v>45</v>
      </c>
      <c r="C102">
        <v>0.36049999999999999</v>
      </c>
      <c r="D102">
        <v>0.36070000000000002</v>
      </c>
      <c r="E102">
        <v>1.2924</v>
      </c>
      <c r="F102">
        <v>1.2948999999999999</v>
      </c>
    </row>
    <row r="103" spans="1:6">
      <c r="A103" t="s">
        <v>145</v>
      </c>
      <c r="B103" t="s">
        <v>46</v>
      </c>
      <c r="C103">
        <v>0.35</v>
      </c>
      <c r="D103">
        <v>0.35010000000000002</v>
      </c>
      <c r="E103">
        <v>1.1807000000000001</v>
      </c>
      <c r="F103">
        <v>1.1827000000000001</v>
      </c>
    </row>
    <row r="104" spans="1:6">
      <c r="A104" t="s">
        <v>148</v>
      </c>
      <c r="B104" t="s">
        <v>28</v>
      </c>
      <c r="C104">
        <v>0.36399999999999999</v>
      </c>
      <c r="D104">
        <v>0.36420000000000002</v>
      </c>
      <c r="E104">
        <v>1.3283</v>
      </c>
      <c r="F104">
        <v>1.3310999999999999</v>
      </c>
    </row>
    <row r="105" spans="1:6">
      <c r="A105" t="s">
        <v>148</v>
      </c>
      <c r="B105" t="s">
        <v>45</v>
      </c>
      <c r="C105">
        <v>0.35139999999999999</v>
      </c>
      <c r="D105">
        <v>0.35160000000000002</v>
      </c>
      <c r="E105">
        <v>1.1874</v>
      </c>
      <c r="F105">
        <v>1.1895</v>
      </c>
    </row>
    <row r="106" spans="1:6">
      <c r="A106" t="s">
        <v>148</v>
      </c>
      <c r="B106" t="s">
        <v>46</v>
      </c>
      <c r="C106">
        <v>0.34210000000000002</v>
      </c>
      <c r="D106">
        <v>0.3422</v>
      </c>
      <c r="E106">
        <v>1.0948</v>
      </c>
      <c r="F106">
        <v>1.0965</v>
      </c>
    </row>
    <row r="107" spans="1:6">
      <c r="A107" t="s">
        <v>151</v>
      </c>
      <c r="B107" t="s">
        <v>28</v>
      </c>
      <c r="C107">
        <v>0.35420000000000001</v>
      </c>
      <c r="D107">
        <v>0.3543</v>
      </c>
      <c r="E107">
        <v>1.1936</v>
      </c>
      <c r="F107">
        <v>1.1957</v>
      </c>
    </row>
    <row r="108" spans="1:6">
      <c r="A108" t="s">
        <v>151</v>
      </c>
      <c r="B108" t="s">
        <v>45</v>
      </c>
      <c r="C108">
        <v>0.34639999999999999</v>
      </c>
      <c r="D108">
        <v>0.34649999999999997</v>
      </c>
      <c r="E108">
        <v>1.1176999999999999</v>
      </c>
      <c r="F108">
        <v>1.1194</v>
      </c>
    </row>
    <row r="109" spans="1:6">
      <c r="A109" t="s">
        <v>151</v>
      </c>
      <c r="B109" t="s">
        <v>46</v>
      </c>
      <c r="C109">
        <v>0.33560000000000001</v>
      </c>
      <c r="D109">
        <v>0.33579999999999999</v>
      </c>
      <c r="E109">
        <v>1.0209999999999999</v>
      </c>
      <c r="F109">
        <v>1.0224</v>
      </c>
    </row>
    <row r="110" spans="1:6">
      <c r="A110" t="s">
        <v>154</v>
      </c>
      <c r="B110" t="s">
        <v>28</v>
      </c>
      <c r="C110">
        <v>0.36249999999999999</v>
      </c>
      <c r="D110">
        <v>0.36270000000000002</v>
      </c>
      <c r="E110">
        <v>1.2789999999999999</v>
      </c>
      <c r="F110">
        <v>1.2815000000000001</v>
      </c>
    </row>
    <row r="111" spans="1:6">
      <c r="A111" t="s">
        <v>154</v>
      </c>
      <c r="B111" t="s">
        <v>45</v>
      </c>
      <c r="C111">
        <v>0.35349999999999998</v>
      </c>
      <c r="D111">
        <v>0.35370000000000001</v>
      </c>
      <c r="E111">
        <v>1.1798999999999999</v>
      </c>
      <c r="F111">
        <v>1.1819</v>
      </c>
    </row>
    <row r="112" spans="1:6">
      <c r="A112" t="s">
        <v>154</v>
      </c>
      <c r="B112" t="s">
        <v>46</v>
      </c>
      <c r="C112">
        <v>0.33189999999999997</v>
      </c>
      <c r="D112">
        <v>0.33200000000000002</v>
      </c>
      <c r="E112">
        <v>0.99390000000000001</v>
      </c>
      <c r="F112">
        <v>0.99529999999999996</v>
      </c>
    </row>
    <row r="113" spans="1:6">
      <c r="A113" t="s">
        <v>156</v>
      </c>
      <c r="B113" t="s">
        <v>28</v>
      </c>
      <c r="C113">
        <v>0.36670000000000003</v>
      </c>
      <c r="D113">
        <v>0.3669</v>
      </c>
      <c r="E113">
        <v>1.337</v>
      </c>
      <c r="F113">
        <v>1.3398000000000001</v>
      </c>
    </row>
    <row r="114" spans="1:6">
      <c r="A114" t="s">
        <v>156</v>
      </c>
      <c r="B114" t="s">
        <v>45</v>
      </c>
      <c r="C114">
        <v>0.35020000000000001</v>
      </c>
      <c r="D114">
        <v>0.35039999999999999</v>
      </c>
      <c r="E114">
        <v>1.1545000000000001</v>
      </c>
      <c r="F114">
        <v>1.1564000000000001</v>
      </c>
    </row>
    <row r="115" spans="1:6">
      <c r="A115" t="s">
        <v>156</v>
      </c>
      <c r="B115" t="s">
        <v>46</v>
      </c>
      <c r="C115">
        <v>0.33529999999999999</v>
      </c>
      <c r="D115">
        <v>0.33539999999999998</v>
      </c>
      <c r="E115">
        <v>1.024</v>
      </c>
      <c r="F115">
        <v>1.0254000000000001</v>
      </c>
    </row>
    <row r="116" spans="1:6">
      <c r="A116" t="s">
        <v>160</v>
      </c>
      <c r="B116" t="s">
        <v>28</v>
      </c>
      <c r="C116">
        <v>0.37209999999999999</v>
      </c>
      <c r="D116">
        <v>0.37230000000000002</v>
      </c>
      <c r="E116">
        <v>1.4384999999999999</v>
      </c>
      <c r="F116">
        <v>1.4419</v>
      </c>
    </row>
    <row r="117" spans="1:6">
      <c r="A117" t="s">
        <v>160</v>
      </c>
      <c r="B117" t="s">
        <v>45</v>
      </c>
      <c r="C117">
        <v>0.3664</v>
      </c>
      <c r="D117">
        <v>0.36659999999999998</v>
      </c>
      <c r="E117">
        <v>1.3604000000000001</v>
      </c>
      <c r="F117">
        <v>1.3633</v>
      </c>
    </row>
    <row r="118" spans="1:6">
      <c r="A118" t="s">
        <v>160</v>
      </c>
      <c r="B118" t="s">
        <v>46</v>
      </c>
      <c r="C118">
        <v>0.34399999999999997</v>
      </c>
      <c r="D118">
        <v>0.34410000000000002</v>
      </c>
      <c r="E118">
        <v>1.1169</v>
      </c>
      <c r="F118">
        <v>1.1186</v>
      </c>
    </row>
    <row r="119" spans="1:6">
      <c r="A119" t="s">
        <v>164</v>
      </c>
      <c r="B119" t="s">
        <v>28</v>
      </c>
      <c r="C119">
        <v>0.36080000000000001</v>
      </c>
      <c r="D119">
        <v>0.36099999999999999</v>
      </c>
      <c r="E119">
        <v>1.2612000000000001</v>
      </c>
      <c r="F119">
        <v>1.2635000000000001</v>
      </c>
    </row>
    <row r="120" spans="1:6">
      <c r="A120" t="s">
        <v>164</v>
      </c>
      <c r="B120" t="s">
        <v>45</v>
      </c>
      <c r="C120">
        <v>0.35439999999999999</v>
      </c>
      <c r="D120">
        <v>0.35460000000000003</v>
      </c>
      <c r="E120">
        <v>1.1914</v>
      </c>
      <c r="F120">
        <v>1.1934</v>
      </c>
    </row>
    <row r="121" spans="1:6">
      <c r="A121" t="s">
        <v>164</v>
      </c>
      <c r="B121" t="s">
        <v>46</v>
      </c>
      <c r="C121">
        <v>0.3377</v>
      </c>
      <c r="D121">
        <v>0.33779999999999999</v>
      </c>
      <c r="E121">
        <v>1.0366</v>
      </c>
      <c r="F121">
        <v>1.0381</v>
      </c>
    </row>
    <row r="122" spans="1:6">
      <c r="A122" t="s">
        <v>168</v>
      </c>
      <c r="B122" t="s">
        <v>28</v>
      </c>
      <c r="C122">
        <v>0.34560000000000002</v>
      </c>
      <c r="D122">
        <v>0.34570000000000001</v>
      </c>
      <c r="E122">
        <v>1.0186999999999999</v>
      </c>
      <c r="F122">
        <v>1.02</v>
      </c>
    </row>
    <row r="123" spans="1:6">
      <c r="A123" t="s">
        <v>168</v>
      </c>
      <c r="B123" t="s">
        <v>45</v>
      </c>
      <c r="C123">
        <v>0.34</v>
      </c>
      <c r="D123">
        <v>0.34010000000000001</v>
      </c>
      <c r="E123">
        <v>0.9768</v>
      </c>
      <c r="F123">
        <v>0.97809999999999997</v>
      </c>
    </row>
    <row r="124" spans="1:6">
      <c r="A124" t="s">
        <v>168</v>
      </c>
      <c r="B124" t="s">
        <v>46</v>
      </c>
      <c r="C124">
        <v>0.32329999999999998</v>
      </c>
      <c r="D124">
        <v>0.32340000000000002</v>
      </c>
      <c r="E124">
        <v>0.86229999999999996</v>
      </c>
      <c r="F124">
        <v>0.86329999999999996</v>
      </c>
    </row>
    <row r="125" spans="1:6">
      <c r="A125" t="s">
        <v>171</v>
      </c>
      <c r="B125" t="s">
        <v>28</v>
      </c>
      <c r="C125">
        <v>0.34849999999999998</v>
      </c>
      <c r="D125">
        <v>0.34870000000000001</v>
      </c>
      <c r="E125">
        <v>1.0441</v>
      </c>
      <c r="F125">
        <v>1.0455000000000001</v>
      </c>
    </row>
    <row r="126" spans="1:6">
      <c r="A126" t="s">
        <v>171</v>
      </c>
      <c r="B126" t="s">
        <v>45</v>
      </c>
      <c r="C126">
        <v>0.34160000000000001</v>
      </c>
      <c r="D126">
        <v>0.3417</v>
      </c>
      <c r="E126">
        <v>0.99009999999999998</v>
      </c>
      <c r="F126">
        <v>0.99129999999999996</v>
      </c>
    </row>
    <row r="127" spans="1:6">
      <c r="A127" t="s">
        <v>171</v>
      </c>
      <c r="B127" t="s">
        <v>46</v>
      </c>
      <c r="C127">
        <v>0.3246</v>
      </c>
      <c r="D127">
        <v>0.32469999999999999</v>
      </c>
      <c r="E127">
        <v>0.87360000000000004</v>
      </c>
      <c r="F127">
        <v>0.87460000000000004</v>
      </c>
    </row>
    <row r="128" spans="1:6">
      <c r="A128" t="s">
        <v>173</v>
      </c>
      <c r="B128" t="s">
        <v>28</v>
      </c>
      <c r="C128">
        <v>0.3513</v>
      </c>
      <c r="D128">
        <v>0.35149999999999998</v>
      </c>
      <c r="E128">
        <v>1.1207</v>
      </c>
      <c r="F128">
        <v>1.1224000000000001</v>
      </c>
    </row>
    <row r="129" spans="1:6">
      <c r="A129" t="s">
        <v>173</v>
      </c>
      <c r="B129" t="s">
        <v>45</v>
      </c>
      <c r="C129">
        <v>0.3347</v>
      </c>
      <c r="D129">
        <v>0.33479999999999999</v>
      </c>
      <c r="E129">
        <v>0.98409999999999997</v>
      </c>
      <c r="F129">
        <v>0.98540000000000005</v>
      </c>
    </row>
    <row r="130" spans="1:6">
      <c r="A130" t="s">
        <v>173</v>
      </c>
      <c r="B130" t="s">
        <v>46</v>
      </c>
      <c r="C130">
        <v>0.32479999999999998</v>
      </c>
      <c r="D130">
        <v>0.32490000000000002</v>
      </c>
      <c r="E130">
        <v>0.90769999999999995</v>
      </c>
      <c r="F130">
        <v>0.90869999999999995</v>
      </c>
    </row>
    <row r="131" spans="1:6">
      <c r="A131" t="s">
        <v>176</v>
      </c>
      <c r="B131" t="s">
        <v>28</v>
      </c>
      <c r="C131">
        <v>0.35</v>
      </c>
      <c r="D131">
        <v>0.35020000000000001</v>
      </c>
      <c r="E131">
        <v>1.093</v>
      </c>
      <c r="F131">
        <v>1.0946</v>
      </c>
    </row>
    <row r="132" spans="1:6">
      <c r="A132" t="s">
        <v>176</v>
      </c>
      <c r="B132" t="s">
        <v>45</v>
      </c>
      <c r="C132">
        <v>0.34370000000000001</v>
      </c>
      <c r="D132">
        <v>0.34379999999999999</v>
      </c>
      <c r="E132">
        <v>1.0366</v>
      </c>
      <c r="F132">
        <v>1.038</v>
      </c>
    </row>
    <row r="133" spans="1:6">
      <c r="A133" t="s">
        <v>176</v>
      </c>
      <c r="B133" t="s">
        <v>46</v>
      </c>
      <c r="C133">
        <v>0.3236</v>
      </c>
      <c r="D133">
        <v>0.32369999999999999</v>
      </c>
      <c r="E133">
        <v>0.88070000000000004</v>
      </c>
      <c r="F133">
        <v>0.88170000000000004</v>
      </c>
    </row>
    <row r="134" spans="1:6">
      <c r="A134" t="s">
        <v>179</v>
      </c>
      <c r="B134" t="s">
        <v>28</v>
      </c>
      <c r="C134">
        <v>0.35139999999999999</v>
      </c>
      <c r="D134">
        <v>0.35149999999999998</v>
      </c>
      <c r="E134">
        <v>1.1357999999999999</v>
      </c>
      <c r="F134">
        <v>1.1375999999999999</v>
      </c>
    </row>
    <row r="135" spans="1:6">
      <c r="A135" t="s">
        <v>179</v>
      </c>
      <c r="B135" t="s">
        <v>45</v>
      </c>
      <c r="C135">
        <v>0.3427</v>
      </c>
      <c r="D135">
        <v>0.34279999999999999</v>
      </c>
      <c r="E135">
        <v>1.0571999999999999</v>
      </c>
      <c r="F135">
        <v>1.0587</v>
      </c>
    </row>
    <row r="136" spans="1:6">
      <c r="A136" t="s">
        <v>179</v>
      </c>
      <c r="B136" t="s">
        <v>46</v>
      </c>
      <c r="C136">
        <v>0.33090000000000003</v>
      </c>
      <c r="D136">
        <v>0.33110000000000001</v>
      </c>
      <c r="E136">
        <v>0.95789999999999997</v>
      </c>
      <c r="F136">
        <v>0.95909999999999995</v>
      </c>
    </row>
    <row r="137" spans="1:6">
      <c r="A137" t="s">
        <v>181</v>
      </c>
      <c r="B137" t="s">
        <v>28</v>
      </c>
      <c r="C137">
        <v>0.36259999999999998</v>
      </c>
      <c r="D137">
        <v>0.36270000000000002</v>
      </c>
      <c r="E137">
        <v>1.2828999999999999</v>
      </c>
      <c r="F137">
        <v>1.2854000000000001</v>
      </c>
    </row>
    <row r="138" spans="1:6">
      <c r="A138" t="s">
        <v>181</v>
      </c>
      <c r="B138" t="s">
        <v>45</v>
      </c>
      <c r="C138">
        <v>0.35649999999999998</v>
      </c>
      <c r="D138">
        <v>0.35659999999999997</v>
      </c>
      <c r="E138">
        <v>1.2152000000000001</v>
      </c>
      <c r="F138">
        <v>1.2174</v>
      </c>
    </row>
    <row r="139" spans="1:6">
      <c r="A139" t="s">
        <v>181</v>
      </c>
      <c r="B139" t="s">
        <v>46</v>
      </c>
      <c r="C139">
        <v>0.33739999999999998</v>
      </c>
      <c r="D139">
        <v>0.33750000000000002</v>
      </c>
      <c r="E139">
        <v>1.0379</v>
      </c>
      <c r="F139">
        <v>1.0394000000000001</v>
      </c>
    </row>
    <row r="140" spans="1:6">
      <c r="A140" t="s">
        <v>183</v>
      </c>
      <c r="B140" t="s">
        <v>28</v>
      </c>
      <c r="C140">
        <v>0.3669</v>
      </c>
      <c r="D140">
        <v>0.36709999999999998</v>
      </c>
      <c r="E140">
        <v>1.3626</v>
      </c>
      <c r="F140">
        <v>1.3654999999999999</v>
      </c>
    </row>
    <row r="141" spans="1:6">
      <c r="A141" t="s">
        <v>183</v>
      </c>
      <c r="B141" t="s">
        <v>45</v>
      </c>
      <c r="C141">
        <v>0.3584</v>
      </c>
      <c r="D141">
        <v>0.35859999999999997</v>
      </c>
      <c r="E141">
        <v>1.2573000000000001</v>
      </c>
      <c r="F141">
        <v>1.2597</v>
      </c>
    </row>
    <row r="142" spans="1:6">
      <c r="A142" t="s">
        <v>183</v>
      </c>
      <c r="B142" t="s">
        <v>46</v>
      </c>
      <c r="C142">
        <v>0.34239999999999998</v>
      </c>
      <c r="D142">
        <v>0.34260000000000002</v>
      </c>
      <c r="E142">
        <v>1.0948</v>
      </c>
      <c r="F142">
        <v>1.0965</v>
      </c>
    </row>
    <row r="143" spans="1:6">
      <c r="A143" t="s">
        <v>185</v>
      </c>
      <c r="B143" t="s">
        <v>28</v>
      </c>
      <c r="C143">
        <v>0.36520000000000002</v>
      </c>
      <c r="D143">
        <v>0.3654</v>
      </c>
      <c r="E143">
        <v>1.3223</v>
      </c>
      <c r="F143">
        <v>1.325</v>
      </c>
    </row>
    <row r="144" spans="1:6">
      <c r="A144" t="s">
        <v>185</v>
      </c>
      <c r="B144" t="s">
        <v>45</v>
      </c>
      <c r="C144">
        <v>0.3478</v>
      </c>
      <c r="D144">
        <v>0.34799999999999998</v>
      </c>
      <c r="E144">
        <v>1.1335999999999999</v>
      </c>
      <c r="F144">
        <v>1.1355</v>
      </c>
    </row>
    <row r="145" spans="1:6">
      <c r="A145" t="s">
        <v>185</v>
      </c>
      <c r="B145" t="s">
        <v>46</v>
      </c>
      <c r="C145">
        <v>0.34039999999999998</v>
      </c>
      <c r="D145">
        <v>0.34060000000000001</v>
      </c>
      <c r="E145">
        <v>1.0627</v>
      </c>
      <c r="F145">
        <v>1.0643</v>
      </c>
    </row>
    <row r="146" spans="1:6">
      <c r="A146" t="s">
        <v>188</v>
      </c>
      <c r="B146" t="s">
        <v>28</v>
      </c>
      <c r="C146">
        <v>0.36309999999999998</v>
      </c>
      <c r="D146">
        <v>0.36330000000000001</v>
      </c>
      <c r="E146">
        <v>1.3219000000000001</v>
      </c>
      <c r="F146">
        <v>1.3246</v>
      </c>
    </row>
    <row r="147" spans="1:6">
      <c r="A147" t="s">
        <v>188</v>
      </c>
      <c r="B147" t="s">
        <v>45</v>
      </c>
      <c r="C147">
        <v>0.35449999999999998</v>
      </c>
      <c r="D147">
        <v>0.35460000000000003</v>
      </c>
      <c r="E147">
        <v>1.2236</v>
      </c>
      <c r="F147">
        <v>1.2258</v>
      </c>
    </row>
    <row r="148" spans="1:6">
      <c r="A148" t="s">
        <v>188</v>
      </c>
      <c r="B148" t="s">
        <v>46</v>
      </c>
      <c r="C148">
        <v>0.34229999999999999</v>
      </c>
      <c r="D148">
        <v>0.34250000000000003</v>
      </c>
      <c r="E148">
        <v>1.1021000000000001</v>
      </c>
      <c r="F148">
        <v>1.1036999999999999</v>
      </c>
    </row>
    <row r="149" spans="1:6">
      <c r="A149" t="s">
        <v>191</v>
      </c>
      <c r="B149" t="s">
        <v>28</v>
      </c>
      <c r="C149">
        <v>0.36499999999999999</v>
      </c>
      <c r="D149">
        <v>0.36520000000000002</v>
      </c>
      <c r="E149">
        <v>1.3393999999999999</v>
      </c>
      <c r="F149">
        <v>1.3422000000000001</v>
      </c>
    </row>
    <row r="150" spans="1:6">
      <c r="A150" t="s">
        <v>191</v>
      </c>
      <c r="B150" t="s">
        <v>45</v>
      </c>
      <c r="C150">
        <v>0.35299999999999998</v>
      </c>
      <c r="D150">
        <v>0.35320000000000001</v>
      </c>
      <c r="E150">
        <v>1.2017</v>
      </c>
      <c r="F150">
        <v>1.2039</v>
      </c>
    </row>
    <row r="151" spans="1:6">
      <c r="A151" t="s">
        <v>191</v>
      </c>
      <c r="B151" t="s">
        <v>46</v>
      </c>
      <c r="C151">
        <v>0.3417</v>
      </c>
      <c r="D151">
        <v>0.34179999999999999</v>
      </c>
      <c r="E151">
        <v>1.0906</v>
      </c>
      <c r="F151">
        <v>1.0923</v>
      </c>
    </row>
    <row r="152" spans="1:6">
      <c r="A152" t="s">
        <v>194</v>
      </c>
      <c r="B152" t="s">
        <v>28</v>
      </c>
      <c r="C152">
        <v>0.34060000000000001</v>
      </c>
      <c r="D152">
        <v>0.3407</v>
      </c>
      <c r="E152">
        <v>1.0107999999999999</v>
      </c>
      <c r="F152">
        <v>1.0121</v>
      </c>
    </row>
    <row r="153" spans="1:6">
      <c r="A153" t="s">
        <v>194</v>
      </c>
      <c r="B153" t="s">
        <v>45</v>
      </c>
      <c r="C153">
        <v>0.33579999999999999</v>
      </c>
      <c r="D153">
        <v>0.33600000000000002</v>
      </c>
      <c r="E153">
        <v>0.97289999999999999</v>
      </c>
      <c r="F153">
        <v>0.97409999999999997</v>
      </c>
    </row>
    <row r="154" spans="1:6">
      <c r="A154" t="s">
        <v>194</v>
      </c>
      <c r="B154" t="s">
        <v>46</v>
      </c>
      <c r="C154">
        <v>0.3246</v>
      </c>
      <c r="D154">
        <v>0.32469999999999999</v>
      </c>
      <c r="E154">
        <v>0.88570000000000004</v>
      </c>
      <c r="F154">
        <v>0.88670000000000004</v>
      </c>
    </row>
    <row r="155" spans="1:6">
      <c r="A155" t="s">
        <v>198</v>
      </c>
      <c r="B155" t="s">
        <v>28</v>
      </c>
      <c r="C155">
        <v>0.3589</v>
      </c>
      <c r="D155">
        <v>0.35909999999999997</v>
      </c>
      <c r="E155">
        <v>1.2057</v>
      </c>
      <c r="F155">
        <v>1.2077</v>
      </c>
    </row>
    <row r="156" spans="1:6">
      <c r="A156" t="s">
        <v>198</v>
      </c>
      <c r="B156" t="s">
        <v>45</v>
      </c>
      <c r="C156">
        <v>0.34429999999999999</v>
      </c>
      <c r="D156">
        <v>0.34449999999999997</v>
      </c>
      <c r="E156">
        <v>1.0569999999999999</v>
      </c>
      <c r="F156">
        <v>1.0585</v>
      </c>
    </row>
    <row r="157" spans="1:6">
      <c r="A157" t="s">
        <v>198</v>
      </c>
      <c r="B157" t="s">
        <v>46</v>
      </c>
      <c r="C157">
        <v>0.33429999999999999</v>
      </c>
      <c r="D157">
        <v>0.33450000000000002</v>
      </c>
      <c r="E157">
        <v>0.96850000000000003</v>
      </c>
      <c r="F157">
        <v>0.96970000000000001</v>
      </c>
    </row>
    <row r="158" spans="1:6">
      <c r="A158" t="s">
        <v>201</v>
      </c>
      <c r="B158" t="s">
        <v>28</v>
      </c>
      <c r="C158">
        <v>0.36120000000000002</v>
      </c>
      <c r="D158">
        <v>0.3614</v>
      </c>
      <c r="E158">
        <v>1.2311000000000001</v>
      </c>
      <c r="F158">
        <v>1.2332000000000001</v>
      </c>
    </row>
    <row r="159" spans="1:6">
      <c r="A159" t="s">
        <v>201</v>
      </c>
      <c r="B159" t="s">
        <v>45</v>
      </c>
      <c r="C159">
        <v>0.35759999999999997</v>
      </c>
      <c r="D159">
        <v>0.35780000000000001</v>
      </c>
      <c r="E159">
        <v>1.1899</v>
      </c>
      <c r="F159">
        <v>1.1919</v>
      </c>
    </row>
    <row r="160" spans="1:6">
      <c r="A160" t="s">
        <v>201</v>
      </c>
      <c r="B160" t="s">
        <v>46</v>
      </c>
      <c r="C160">
        <v>0.3357</v>
      </c>
      <c r="D160">
        <v>0.33579999999999999</v>
      </c>
      <c r="E160">
        <v>0.97970000000000002</v>
      </c>
      <c r="F160">
        <v>0.98089999999999999</v>
      </c>
    </row>
    <row r="161" spans="1:6">
      <c r="A161" t="s">
        <v>205</v>
      </c>
      <c r="B161" t="s">
        <v>28</v>
      </c>
      <c r="C161">
        <v>0.34939999999999999</v>
      </c>
      <c r="D161">
        <v>0.34949999999999998</v>
      </c>
      <c r="E161">
        <v>1.0940000000000001</v>
      </c>
      <c r="F161">
        <v>1.0955999999999999</v>
      </c>
    </row>
    <row r="162" spans="1:6">
      <c r="A162" t="s">
        <v>205</v>
      </c>
      <c r="B162" t="s">
        <v>45</v>
      </c>
      <c r="C162">
        <v>0.3422</v>
      </c>
      <c r="D162">
        <v>0.34229999999999999</v>
      </c>
      <c r="E162">
        <v>1.0293000000000001</v>
      </c>
      <c r="F162">
        <v>1.0306999999999999</v>
      </c>
    </row>
    <row r="163" spans="1:6">
      <c r="A163" t="s">
        <v>205</v>
      </c>
      <c r="B163" t="s">
        <v>46</v>
      </c>
      <c r="C163">
        <v>0.33139999999999997</v>
      </c>
      <c r="D163">
        <v>0.33150000000000002</v>
      </c>
      <c r="E163">
        <v>0.9375</v>
      </c>
      <c r="F163">
        <v>0.93859999999999999</v>
      </c>
    </row>
    <row r="164" spans="1:6">
      <c r="A164" t="s">
        <v>209</v>
      </c>
      <c r="B164" t="s">
        <v>28</v>
      </c>
      <c r="C164">
        <v>0.34410000000000002</v>
      </c>
      <c r="D164">
        <v>0.34420000000000001</v>
      </c>
      <c r="E164">
        <v>1.0462</v>
      </c>
      <c r="F164">
        <v>1.0476000000000001</v>
      </c>
    </row>
    <row r="165" spans="1:6">
      <c r="A165" t="s">
        <v>209</v>
      </c>
      <c r="B165" t="s">
        <v>45</v>
      </c>
      <c r="C165">
        <v>0.33689999999999998</v>
      </c>
      <c r="D165">
        <v>0.33710000000000001</v>
      </c>
      <c r="E165">
        <v>0.99</v>
      </c>
      <c r="F165">
        <v>0.99129999999999996</v>
      </c>
    </row>
    <row r="166" spans="1:6">
      <c r="A166" t="s">
        <v>209</v>
      </c>
      <c r="B166" t="s">
        <v>46</v>
      </c>
      <c r="C166">
        <v>0.32319999999999999</v>
      </c>
      <c r="D166">
        <v>0.32329999999999998</v>
      </c>
      <c r="E166">
        <v>0.89080000000000004</v>
      </c>
      <c r="F166">
        <v>0.89180000000000004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0FE1-E0DB-4323-BC86-29B9F6AB5ADE}">
  <dimension ref="A1:D2"/>
  <sheetViews>
    <sheetView workbookViewId="0">
      <selection activeCell="D3" sqref="D3"/>
    </sheetView>
  </sheetViews>
  <sheetFormatPr defaultRowHeight="15"/>
  <cols>
    <col min="1" max="1" width="32.28515625" customWidth="1"/>
    <col min="2" max="2" width="43.7109375" customWidth="1"/>
    <col min="3" max="3" width="54.7109375" customWidth="1"/>
    <col min="4" max="4" width="35.140625" customWidth="1"/>
  </cols>
  <sheetData>
    <row r="1" spans="1:4" s="4" customFormat="1">
      <c r="A1" s="4" t="s">
        <v>30</v>
      </c>
      <c r="B1" s="4" t="s">
        <v>5</v>
      </c>
      <c r="C1" s="4" t="s">
        <v>211</v>
      </c>
      <c r="D1" s="4" t="s">
        <v>212</v>
      </c>
    </row>
    <row r="2" spans="1:4">
      <c r="A2" t="s">
        <v>213</v>
      </c>
      <c r="B2" t="s">
        <v>214</v>
      </c>
      <c r="C2" s="6" t="s">
        <v>215</v>
      </c>
      <c r="D2" t="s">
        <v>216</v>
      </c>
    </row>
  </sheetData>
  <hyperlinks>
    <hyperlink ref="C2" r:id="rId1" xr:uid="{632C8A82-F365-439E-B90A-8A5C41D1F0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4728FD9E6A9F47ACA88E994DE85A36" ma:contentTypeVersion="16" ma:contentTypeDescription="Een nieuw document maken." ma:contentTypeScope="" ma:versionID="3b8509a3fd8397b413dfcd8265169c66">
  <xsd:schema xmlns:xsd="http://www.w3.org/2001/XMLSchema" xmlns:xs="http://www.w3.org/2001/XMLSchema" xmlns:p="http://schemas.microsoft.com/office/2006/metadata/properties" xmlns:ns2="7cee2528-507b-4a92-af2c-ff410c06d38f" xmlns:ns3="1cf5408d-32fa-4869-9641-2ac94da6c633" targetNamespace="http://schemas.microsoft.com/office/2006/metadata/properties" ma:root="true" ma:fieldsID="5941cea895d687169c5721323571fc3c" ns2:_="" ns3:_="">
    <xsd:import namespace="7cee2528-507b-4a92-af2c-ff410c06d38f"/>
    <xsd:import namespace="1cf5408d-32fa-4869-9641-2ac94da6c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e2528-507b-4a92-af2c-ff410c06d3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50a49bc4-c9e0-412a-b7e2-852193553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5408d-32fa-4869-9641-2ac94da6c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3b51bcb-6a80-41d6-9bc8-ee008928b29c}" ma:internalName="TaxCatchAll" ma:showField="CatchAllData" ma:web="1cf5408d-32fa-4869-9641-2ac94da6c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ee2528-507b-4a92-af2c-ff410c06d38f">
      <Terms xmlns="http://schemas.microsoft.com/office/infopath/2007/PartnerControls"/>
    </lcf76f155ced4ddcb4097134ff3c332f>
    <TaxCatchAll xmlns="1cf5408d-32fa-4869-9641-2ac94da6c63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4C6A018-A9D8-453A-93C4-741F1ED18FCA}"/>
</file>

<file path=customXml/itemProps2.xml><?xml version="1.0" encoding="utf-8"?>
<ds:datastoreItem xmlns:ds="http://schemas.openxmlformats.org/officeDocument/2006/customXml" ds:itemID="{0B493B20-66CC-40F2-9209-629ED9864FA5}"/>
</file>

<file path=customXml/itemProps3.xml><?xml version="1.0" encoding="utf-8"?>
<ds:datastoreItem xmlns:ds="http://schemas.openxmlformats.org/officeDocument/2006/customXml" ds:itemID="{2147581D-2D7B-45C4-923C-D388C9E93D1F}"/>
</file>

<file path=customXml/itemProps4.xml><?xml version="1.0" encoding="utf-8"?>
<ds:datastoreItem xmlns:ds="http://schemas.openxmlformats.org/officeDocument/2006/customXml" ds:itemID="{1A1873A2-4534-4909-8774-A88DD83A0F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2026-01-30T20:20:15Z</dcterms:created>
  <dcterms:modified xsi:type="dcterms:W3CDTF">2026-03-19T23:43:09Z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0x010100584728FD9E6A9F47ACA88E994DE85A36</vt:lpwstr>
  </property>
  <property fmtid="{D5CDD505-2E9C-101B-9397-08002B2CF9AE}" pid="3" name="MediaServiceImageTags">
    <vt:lpwstr/>
  </property>
</Properties>
</file>